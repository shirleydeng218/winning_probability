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78" documentId="13_ncr:1_{8FFC9D04-9E6C-4387-9CA1-DA28F071A367}" xr6:coauthVersionLast="47" xr6:coauthVersionMax="47" xr10:uidLastSave="{946A89C9-6E22-5E42-8F2A-552E4A13566B}"/>
  <bookViews>
    <workbookView xWindow="5160" yWindow="680" windowWidth="29040" windowHeight="17680" xr2:uid="{2B257662-BBB0-7E4F-AE21-5DF4D2EB5C7F}"/>
  </bookViews>
  <sheets>
    <sheet name="Sheet1" sheetId="1" r:id="rId1"/>
  </sheets>
  <definedNames>
    <definedName name="_xlnm._FilterDatabase" localSheetId="0" hidden="1">Sheet1!$A$1:$Q$78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1" l="1"/>
  <c r="I13" i="1"/>
  <c r="I40" i="1"/>
  <c r="I67" i="1"/>
  <c r="J40" i="1"/>
  <c r="H2" i="1"/>
  <c r="L2" i="1" s="1"/>
  <c r="M2" i="1" s="1"/>
  <c r="I2" i="1"/>
  <c r="J2" i="1"/>
  <c r="H3" i="1"/>
  <c r="L3" i="1" s="1"/>
  <c r="M3" i="1" s="1"/>
  <c r="I3" i="1"/>
  <c r="J3" i="1"/>
  <c r="H4" i="1"/>
  <c r="L4" i="1" s="1"/>
  <c r="M4" i="1" s="1"/>
  <c r="I4" i="1"/>
  <c r="J4" i="1"/>
  <c r="H5" i="1"/>
  <c r="L5" i="1" s="1"/>
  <c r="M5" i="1" s="1"/>
  <c r="I5" i="1"/>
  <c r="J5" i="1"/>
  <c r="H6" i="1"/>
  <c r="L6" i="1" s="1"/>
  <c r="M6" i="1" s="1"/>
  <c r="I6" i="1"/>
  <c r="J6" i="1"/>
  <c r="H31" i="1"/>
  <c r="L31" i="1" s="1"/>
  <c r="M31" i="1" s="1"/>
  <c r="I31" i="1"/>
  <c r="J31" i="1"/>
  <c r="H8" i="1"/>
  <c r="L8" i="1" s="1"/>
  <c r="M8" i="1" s="1"/>
  <c r="I8" i="1"/>
  <c r="J8" i="1"/>
  <c r="H9" i="1"/>
  <c r="L9" i="1" s="1"/>
  <c r="M9" i="1" s="1"/>
  <c r="I9" i="1"/>
  <c r="J9" i="1"/>
  <c r="H10" i="1"/>
  <c r="L10" i="1" s="1"/>
  <c r="M10" i="1" s="1"/>
  <c r="I10" i="1"/>
  <c r="J10" i="1"/>
  <c r="H11" i="1"/>
  <c r="L11" i="1" s="1"/>
  <c r="M11" i="1" s="1"/>
  <c r="I11" i="1"/>
  <c r="J11" i="1"/>
  <c r="H12" i="1"/>
  <c r="L12" i="1" s="1"/>
  <c r="M12" i="1" s="1"/>
  <c r="I12" i="1"/>
  <c r="J12" i="1"/>
  <c r="H58" i="1"/>
  <c r="L58" i="1" s="1"/>
  <c r="M58" i="1" s="1"/>
  <c r="I58" i="1"/>
  <c r="J58" i="1"/>
  <c r="H15" i="1"/>
  <c r="L15" i="1" s="1"/>
  <c r="M15" i="1" s="1"/>
  <c r="I15" i="1"/>
  <c r="J15" i="1"/>
  <c r="H16" i="1"/>
  <c r="L16" i="1" s="1"/>
  <c r="M16" i="1" s="1"/>
  <c r="I16" i="1"/>
  <c r="J16" i="1"/>
  <c r="H17" i="1"/>
  <c r="L17" i="1" s="1"/>
  <c r="M17" i="1" s="1"/>
  <c r="I17" i="1"/>
  <c r="J17" i="1"/>
  <c r="H18" i="1"/>
  <c r="L18" i="1" s="1"/>
  <c r="M18" i="1" s="1"/>
  <c r="I18" i="1"/>
  <c r="J18" i="1"/>
  <c r="H19" i="1"/>
  <c r="L19" i="1" s="1"/>
  <c r="M19" i="1" s="1"/>
  <c r="I19" i="1"/>
  <c r="J19" i="1"/>
  <c r="H20" i="1"/>
  <c r="L20" i="1" s="1"/>
  <c r="M20" i="1" s="1"/>
  <c r="I20" i="1"/>
  <c r="J20" i="1"/>
  <c r="H21" i="1"/>
  <c r="L21" i="1" s="1"/>
  <c r="M21" i="1" s="1"/>
  <c r="I21" i="1"/>
  <c r="J21" i="1"/>
  <c r="H22" i="1"/>
  <c r="L22" i="1" s="1"/>
  <c r="M22" i="1" s="1"/>
  <c r="I22" i="1"/>
  <c r="J22" i="1"/>
  <c r="H23" i="1"/>
  <c r="L23" i="1" s="1"/>
  <c r="M23" i="1" s="1"/>
  <c r="I23" i="1"/>
  <c r="J23" i="1"/>
  <c r="H24" i="1"/>
  <c r="L24" i="1" s="1"/>
  <c r="M24" i="1" s="1"/>
  <c r="I24" i="1"/>
  <c r="J24" i="1"/>
  <c r="H25" i="1"/>
  <c r="L25" i="1" s="1"/>
  <c r="M25" i="1" s="1"/>
  <c r="I25" i="1"/>
  <c r="J25" i="1"/>
  <c r="H26" i="1"/>
  <c r="L26" i="1" s="1"/>
  <c r="M26" i="1" s="1"/>
  <c r="I26" i="1"/>
  <c r="J26" i="1"/>
  <c r="H27" i="1"/>
  <c r="L27" i="1" s="1"/>
  <c r="M27" i="1" s="1"/>
  <c r="I27" i="1"/>
  <c r="J27" i="1"/>
  <c r="H28" i="1"/>
  <c r="L28" i="1" s="1"/>
  <c r="M28" i="1" s="1"/>
  <c r="I28" i="1"/>
  <c r="J28" i="1"/>
  <c r="H29" i="1"/>
  <c r="L29" i="1" s="1"/>
  <c r="M29" i="1" s="1"/>
  <c r="I29" i="1"/>
  <c r="J29" i="1"/>
  <c r="H30" i="1"/>
  <c r="L30" i="1" s="1"/>
  <c r="M30" i="1" s="1"/>
  <c r="I30" i="1"/>
  <c r="J30" i="1"/>
  <c r="H7" i="1"/>
  <c r="L7" i="1" s="1"/>
  <c r="M7" i="1" s="1"/>
  <c r="I7" i="1"/>
  <c r="J7" i="1"/>
  <c r="H32" i="1"/>
  <c r="L32" i="1" s="1"/>
  <c r="M32" i="1" s="1"/>
  <c r="I32" i="1"/>
  <c r="J32" i="1"/>
  <c r="H33" i="1"/>
  <c r="L33" i="1" s="1"/>
  <c r="M33" i="1" s="1"/>
  <c r="I33" i="1"/>
  <c r="J33" i="1"/>
  <c r="H34" i="1"/>
  <c r="L34" i="1" s="1"/>
  <c r="M34" i="1" s="1"/>
  <c r="I34" i="1"/>
  <c r="J34" i="1"/>
  <c r="H35" i="1"/>
  <c r="L35" i="1" s="1"/>
  <c r="M35" i="1" s="1"/>
  <c r="I35" i="1"/>
  <c r="J35" i="1"/>
  <c r="H36" i="1"/>
  <c r="L36" i="1" s="1"/>
  <c r="M36" i="1" s="1"/>
  <c r="I36" i="1"/>
  <c r="J36" i="1"/>
  <c r="H37" i="1"/>
  <c r="L37" i="1" s="1"/>
  <c r="M37" i="1" s="1"/>
  <c r="I37" i="1"/>
  <c r="J37" i="1"/>
  <c r="H38" i="1"/>
  <c r="L38" i="1" s="1"/>
  <c r="M38" i="1" s="1"/>
  <c r="I38" i="1"/>
  <c r="J38" i="1"/>
  <c r="H39" i="1"/>
  <c r="L39" i="1" s="1"/>
  <c r="M39" i="1" s="1"/>
  <c r="I39" i="1"/>
  <c r="J39" i="1"/>
  <c r="H60" i="1"/>
  <c r="L60" i="1" s="1"/>
  <c r="M60" i="1" s="1"/>
  <c r="I60" i="1"/>
  <c r="J60" i="1"/>
  <c r="H42" i="1"/>
  <c r="L42" i="1" s="1"/>
  <c r="M42" i="1" s="1"/>
  <c r="I42" i="1"/>
  <c r="J42" i="1"/>
  <c r="H43" i="1"/>
  <c r="L43" i="1" s="1"/>
  <c r="M43" i="1" s="1"/>
  <c r="I43" i="1"/>
  <c r="J43" i="1"/>
  <c r="H44" i="1"/>
  <c r="L44" i="1" s="1"/>
  <c r="M44" i="1" s="1"/>
  <c r="I44" i="1"/>
  <c r="J44" i="1"/>
  <c r="H45" i="1"/>
  <c r="L45" i="1" s="1"/>
  <c r="M45" i="1" s="1"/>
  <c r="I45" i="1"/>
  <c r="J45" i="1"/>
  <c r="H46" i="1"/>
  <c r="L46" i="1" s="1"/>
  <c r="M46" i="1" s="1"/>
  <c r="I46" i="1"/>
  <c r="J46" i="1"/>
  <c r="H47" i="1"/>
  <c r="L47" i="1" s="1"/>
  <c r="M47" i="1" s="1"/>
  <c r="I47" i="1"/>
  <c r="J47" i="1"/>
  <c r="H48" i="1"/>
  <c r="L48" i="1" s="1"/>
  <c r="M48" i="1" s="1"/>
  <c r="I48" i="1"/>
  <c r="J48" i="1"/>
  <c r="H49" i="1"/>
  <c r="L49" i="1" s="1"/>
  <c r="M49" i="1" s="1"/>
  <c r="I49" i="1"/>
  <c r="J49" i="1"/>
  <c r="H50" i="1"/>
  <c r="L50" i="1" s="1"/>
  <c r="M50" i="1" s="1"/>
  <c r="I50" i="1"/>
  <c r="J50" i="1"/>
  <c r="H51" i="1"/>
  <c r="L51" i="1" s="1"/>
  <c r="M51" i="1" s="1"/>
  <c r="I51" i="1"/>
  <c r="J51" i="1"/>
  <c r="H52" i="1"/>
  <c r="L52" i="1" s="1"/>
  <c r="M52" i="1" s="1"/>
  <c r="I52" i="1"/>
  <c r="J52" i="1"/>
  <c r="H53" i="1"/>
  <c r="L53" i="1" s="1"/>
  <c r="M53" i="1" s="1"/>
  <c r="I53" i="1"/>
  <c r="J53" i="1"/>
  <c r="H54" i="1"/>
  <c r="L54" i="1" s="1"/>
  <c r="M54" i="1" s="1"/>
  <c r="I54" i="1"/>
  <c r="J54" i="1"/>
  <c r="H55" i="1"/>
  <c r="L55" i="1" s="1"/>
  <c r="M55" i="1" s="1"/>
  <c r="I55" i="1"/>
  <c r="J55" i="1"/>
  <c r="H56" i="1"/>
  <c r="L56" i="1" s="1"/>
  <c r="M56" i="1" s="1"/>
  <c r="I56" i="1"/>
  <c r="J56" i="1"/>
  <c r="H57" i="1"/>
  <c r="L57" i="1" s="1"/>
  <c r="M57" i="1" s="1"/>
  <c r="I57" i="1"/>
  <c r="J57" i="1"/>
  <c r="H14" i="1"/>
  <c r="L14" i="1" s="1"/>
  <c r="M14" i="1" s="1"/>
  <c r="I14" i="1"/>
  <c r="J14" i="1"/>
  <c r="H59" i="1"/>
  <c r="L59" i="1" s="1"/>
  <c r="M59" i="1" s="1"/>
  <c r="I59" i="1"/>
  <c r="J59" i="1"/>
  <c r="H41" i="1"/>
  <c r="L41" i="1" s="1"/>
  <c r="M41" i="1" s="1"/>
  <c r="I41" i="1"/>
  <c r="J41" i="1"/>
  <c r="H61" i="1"/>
  <c r="L61" i="1" s="1"/>
  <c r="M61" i="1" s="1"/>
  <c r="I61" i="1"/>
  <c r="J61" i="1"/>
  <c r="H62" i="1"/>
  <c r="L62" i="1" s="1"/>
  <c r="M62" i="1" s="1"/>
  <c r="I62" i="1"/>
  <c r="J62" i="1"/>
  <c r="H63" i="1"/>
  <c r="L63" i="1" s="1"/>
  <c r="M63" i="1" s="1"/>
  <c r="I63" i="1"/>
  <c r="J63" i="1"/>
  <c r="H64" i="1"/>
  <c r="L64" i="1" s="1"/>
  <c r="M64" i="1" s="1"/>
  <c r="I64" i="1"/>
  <c r="J64" i="1"/>
  <c r="H65" i="1"/>
  <c r="L65" i="1" s="1"/>
  <c r="M65" i="1" s="1"/>
  <c r="I65" i="1"/>
  <c r="J65" i="1"/>
  <c r="H66" i="1"/>
  <c r="L66" i="1" s="1"/>
  <c r="M66" i="1" s="1"/>
  <c r="I66" i="1"/>
  <c r="J66" i="1"/>
  <c r="H68" i="1"/>
  <c r="L68" i="1" s="1"/>
  <c r="M68" i="1" s="1"/>
  <c r="I68" i="1"/>
  <c r="J68" i="1"/>
  <c r="H69" i="1"/>
  <c r="L69" i="1" s="1"/>
  <c r="M69" i="1" s="1"/>
  <c r="I69" i="1"/>
  <c r="J69" i="1"/>
  <c r="H70" i="1"/>
  <c r="L70" i="1" s="1"/>
  <c r="M70" i="1" s="1"/>
  <c r="I70" i="1"/>
  <c r="J70" i="1"/>
  <c r="H71" i="1"/>
  <c r="L71" i="1" s="1"/>
  <c r="M71" i="1" s="1"/>
  <c r="I71" i="1"/>
  <c r="J71" i="1"/>
  <c r="H72" i="1"/>
  <c r="L72" i="1" s="1"/>
  <c r="M72" i="1" s="1"/>
  <c r="I72" i="1"/>
  <c r="J72" i="1"/>
  <c r="H73" i="1"/>
  <c r="L73" i="1" s="1"/>
  <c r="M73" i="1" s="1"/>
  <c r="I73" i="1"/>
  <c r="J73" i="1"/>
  <c r="H74" i="1"/>
  <c r="L74" i="1" s="1"/>
  <c r="M74" i="1" s="1"/>
  <c r="I74" i="1"/>
  <c r="J74" i="1"/>
  <c r="H75" i="1"/>
  <c r="L75" i="1" s="1"/>
  <c r="M75" i="1" s="1"/>
  <c r="I75" i="1"/>
  <c r="J75" i="1"/>
  <c r="H76" i="1"/>
  <c r="L76" i="1" s="1"/>
  <c r="M76" i="1" s="1"/>
  <c r="I76" i="1"/>
  <c r="J76" i="1"/>
  <c r="H77" i="1"/>
  <c r="L77" i="1" s="1"/>
  <c r="M77" i="1" s="1"/>
  <c r="I77" i="1"/>
  <c r="J77" i="1"/>
  <c r="H78" i="1"/>
  <c r="L78" i="1" s="1"/>
  <c r="M78" i="1" s="1"/>
  <c r="I78" i="1"/>
  <c r="J78" i="1"/>
  <c r="K40" i="1" l="1"/>
  <c r="H40" i="1"/>
  <c r="L40" i="1" s="1"/>
  <c r="M40" i="1" s="1"/>
  <c r="H13" i="1"/>
  <c r="L13" i="1" s="1"/>
  <c r="M13" i="1" s="1"/>
  <c r="K67" i="1"/>
  <c r="H67" i="1"/>
  <c r="L67" i="1" s="1"/>
  <c r="M67" i="1" s="1"/>
  <c r="J13" i="1"/>
  <c r="K13" i="1" s="1"/>
  <c r="K15" i="1"/>
  <c r="K18" i="1"/>
  <c r="K6" i="1"/>
  <c r="K50" i="1"/>
  <c r="K39" i="1"/>
  <c r="K36" i="1"/>
  <c r="K14" i="1"/>
  <c r="K76" i="1"/>
  <c r="K28" i="1"/>
  <c r="K64" i="1"/>
  <c r="K27" i="1"/>
  <c r="K30" i="1"/>
  <c r="K12" i="1"/>
  <c r="K48" i="1"/>
  <c r="K16" i="1"/>
  <c r="K35" i="1"/>
  <c r="K24" i="1"/>
  <c r="K73" i="1"/>
  <c r="K7" i="1"/>
  <c r="K23" i="1"/>
  <c r="K69" i="1"/>
  <c r="K61" i="1"/>
  <c r="K17" i="1"/>
  <c r="K31" i="1"/>
  <c r="K59" i="1"/>
  <c r="K43" i="1"/>
  <c r="K72" i="1"/>
  <c r="K65" i="1"/>
  <c r="K49" i="1"/>
  <c r="K46" i="1"/>
  <c r="K77" i="1"/>
  <c r="K34" i="1"/>
  <c r="K19" i="1"/>
  <c r="K58" i="1"/>
  <c r="K70" i="1"/>
  <c r="K54" i="1"/>
  <c r="K29" i="1"/>
  <c r="K8" i="1"/>
  <c r="K71" i="1"/>
  <c r="K25" i="1"/>
  <c r="K66" i="1"/>
  <c r="K41" i="1"/>
  <c r="K51" i="1"/>
  <c r="K42" i="1"/>
  <c r="K21" i="1"/>
  <c r="K62" i="1"/>
  <c r="K5" i="1"/>
  <c r="K3" i="1"/>
  <c r="K57" i="1"/>
  <c r="K74" i="1"/>
  <c r="K37" i="1"/>
  <c r="K26" i="1"/>
  <c r="K20" i="1"/>
  <c r="K11" i="1"/>
  <c r="K53" i="1"/>
  <c r="K22" i="1"/>
  <c r="K10" i="1"/>
  <c r="K2" i="1"/>
  <c r="K47" i="1"/>
  <c r="K45" i="1"/>
  <c r="K68" i="1"/>
  <c r="K56" i="1"/>
  <c r="K38" i="1"/>
  <c r="K4" i="1"/>
  <c r="K60" i="1"/>
  <c r="K78" i="1"/>
  <c r="K52" i="1"/>
  <c r="K32" i="1"/>
  <c r="K44" i="1"/>
  <c r="K63" i="1"/>
  <c r="K75" i="1"/>
  <c r="K55" i="1"/>
  <c r="K9" i="1"/>
  <c r="K33" i="1"/>
</calcChain>
</file>

<file path=xl/sharedStrings.xml><?xml version="1.0" encoding="utf-8"?>
<sst xmlns="http://schemas.openxmlformats.org/spreadsheetml/2006/main" count="171" uniqueCount="47">
  <si>
    <t>cell_name</t>
  </si>
  <si>
    <t>event_type</t>
  </si>
  <si>
    <t>spend_usd</t>
  </si>
  <si>
    <t>n_test</t>
  </si>
  <si>
    <t>test_conversions</t>
  </si>
  <si>
    <t>test_conv_rate</t>
  </si>
  <si>
    <t>relative_lift</t>
  </si>
  <si>
    <t>Absolute_lift</t>
  </si>
  <si>
    <t>absolute_lift_CI_max</t>
  </si>
  <si>
    <t>absolute_lift_CI_min</t>
  </si>
  <si>
    <t>confidence_level</t>
  </si>
  <si>
    <t>CPIS</t>
  </si>
  <si>
    <t>n_control</t>
  </si>
  <si>
    <t>control_conversions</t>
  </si>
  <si>
    <t>control_conv_rate</t>
  </si>
  <si>
    <t>absolute_lift_CI</t>
  </si>
  <si>
    <t>scaled_control_conversions</t>
  </si>
  <si>
    <t>Hulu Android - Hulu Install -- Android</t>
  </si>
  <si>
    <t>Hulu Android - Hulu Plan Select -- Android</t>
  </si>
  <si>
    <t>Hulu Android - Hulu Subscription Start -- Android</t>
  </si>
  <si>
    <t>Hulu Android - Sub End With Trial -- Android</t>
  </si>
  <si>
    <t>Hulu iOS - Hulu App Install -- iOS</t>
  </si>
  <si>
    <t>Hulu iOS - Hulu Subscription Start -- iOS</t>
  </si>
  <si>
    <t>Hulu Plus Thank You Page [Static]</t>
  </si>
  <si>
    <t>usergen:LIVE</t>
  </si>
  <si>
    <t>usergen:LIVE_Bundle</t>
  </si>
  <si>
    <t>usergen:LIVE_Bundle: ads_live_disney_espn</t>
  </si>
  <si>
    <t>usergen:LIVE_Bundle: noads_live_disney_espn</t>
  </si>
  <si>
    <t>usergen:LIVE_live</t>
  </si>
  <si>
    <t>usergen:LIVE_noah</t>
  </si>
  <si>
    <t>usergen:LIVE_only</t>
  </si>
  <si>
    <t>usergen:NO_TRIAL_PERIOD</t>
  </si>
  <si>
    <t>usergen:SVOD_Bundle</t>
  </si>
  <si>
    <t>usergen:SVOD_Bundle: 2p_bundle_premium</t>
  </si>
  <si>
    <t>usergen:SVOD_Bundle: ads_hulu_disney_espn</t>
  </si>
  <si>
    <t>usergen:SVOD_Bundle: ads_max_hulu_disney</t>
  </si>
  <si>
    <t>usergen:SVOD_Bundle: hulu_disney_ads_2p_bundle</t>
  </si>
  <si>
    <t>usergen:SVOD_Bundle: hybrid_hulu_disney_espn</t>
  </si>
  <si>
    <t>usergen:SVOD_Bundle: noads_hulu_disney_espn</t>
  </si>
  <si>
    <t>usergen:SVOD_Bundle: noads_max_hulu_disney</t>
  </si>
  <si>
    <t>usergen:SVOD_Bundle2</t>
  </si>
  <si>
    <t>usergen:SVOD_noah</t>
  </si>
  <si>
    <t>usergen:SVOD_sash</t>
  </si>
  <si>
    <t>Cell 1 - CLAL 15%</t>
  </si>
  <si>
    <t>Cell 2 - CLAL100%</t>
  </si>
  <si>
    <t>Cell 3 - Target Everyone</t>
  </si>
  <si>
    <t>usergen:SVOD DUO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</si>
</sst>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&quot;$&quot;#,##0.00"/>
    <numFmt numFmtId="166" formatCode="_(* #,##0_);_(* \(#,##0\);_(* &quot;-&quot;??_);_(@_)"/>
    <numFmt numFmtId="170" formatCode="_(&quot;$&quot;* #,##0_);_(&quot;$&quot;* \(#,##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44" fontId="4" fillId="2" borderId="0" xfId="1" applyFont="1" applyFill="1" applyAlignment="1">
      <alignment horizontal="right"/>
    </xf>
    <xf numFmtId="166" fontId="4" fillId="2" borderId="0" xfId="3" applyNumberFormat="1" applyFont="1" applyFill="1" applyAlignment="1">
      <alignment horizontal="right"/>
    </xf>
    <xf numFmtId="166" fontId="3" fillId="2" borderId="0" xfId="3" applyNumberFormat="1" applyFont="1" applyFill="1" applyAlignment="1">
      <alignment horizontal="right"/>
    </xf>
    <xf numFmtId="166" fontId="4" fillId="3" borderId="0" xfId="3" applyNumberFormat="1" applyFont="1" applyFill="1" applyAlignment="1">
      <alignment horizontal="right"/>
    </xf>
    <xf numFmtId="164" fontId="3" fillId="3" borderId="0" xfId="2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165" fontId="3" fillId="3" borderId="0" xfId="1" applyNumberFormat="1" applyFont="1" applyFill="1" applyAlignment="1">
      <alignment horizontal="right"/>
    </xf>
    <xf numFmtId="0" fontId="2" fillId="4" borderId="0" xfId="0" applyFont="1" applyFill="1" applyAlignment="1">
      <alignment wrapText="1"/>
    </xf>
    <xf numFmtId="4" fontId="3" fillId="4" borderId="0" xfId="0" applyNumberFormat="1" applyFont="1" applyFill="1" applyAlignment="1">
      <alignment horizontal="right"/>
    </xf>
    <xf numFmtId="0" fontId="0" fillId="2" borderId="0" xfId="0" applyFill="1"/>
    <xf numFmtId="11" fontId="3" fillId="4" borderId="0" xfId="0" applyNumberFormat="1" applyFont="1" applyFill="1" applyAlignment="1">
      <alignment horizontal="right"/>
    </xf>
    <xf numFmtId="9" fontId="3" fillId="4" borderId="0" xfId="2" applyFont="1" applyFill="1" applyAlignment="1">
      <alignment horizontal="right"/>
    </xf>
    <xf numFmtId="166" fontId="0" fillId="0" borderId="0" xfId="0" applyNumberFormat="1"/>
    <xf numFmtId="170" fontId="2" fillId="2" borderId="0" xfId="1" applyNumberFormat="1" applyFont="1" applyFill="1" applyAlignment="1">
      <alignment wrapText="1"/>
    </xf>
    <xf numFmtId="170" fontId="2" fillId="2" borderId="0" xfId="0" applyNumberFormat="1" applyFont="1" applyFill="1" applyAlignment="1">
      <alignment wrapText="1"/>
    </xf>
    <xf numFmtId="170" fontId="4" fillId="2" borderId="0" xfId="1" applyNumberFormat="1" applyFont="1" applyFill="1" applyAlignment="1">
      <alignment horizontal="right"/>
    </xf>
    <xf numFmtId="170" fontId="4" fillId="2" borderId="0" xfId="3" applyNumberFormat="1" applyFont="1" applyFill="1" applyAlignment="1">
      <alignment horizontal="right"/>
    </xf>
    <xf numFmtId="170" fontId="0" fillId="0" borderId="0" xfId="1" applyNumberFormat="1" applyFont="1"/>
    <xf numFmtId="170" fontId="0" fillId="0" borderId="0" xfId="0" applyNumberForma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sheetPr filterMode="1"/>
  <dimension ref="A1:Q78"/>
  <sheetViews>
    <sheetView tabSelected="1" workbookViewId="0">
      <pane xSplit="5" ySplit="1" topLeftCell="F5" activePane="bottomRight" state="frozen"/>
      <selection pane="topRight" activeCell="F1" sqref="F1"/>
      <selection pane="bottomLeft" activeCell="A2" sqref="A2"/>
      <selection pane="bottomRight" activeCell="M83" sqref="M83"/>
    </sheetView>
  </sheetViews>
  <sheetFormatPr baseColWidth="10" defaultColWidth="10.6640625" defaultRowHeight="16" x14ac:dyDescent="0.2"/>
  <cols>
    <col min="1" max="1" width="22.33203125" customWidth="1"/>
    <col min="2" max="2" width="28.6640625" customWidth="1"/>
    <col min="3" max="3" width="15.83203125" style="21" customWidth="1"/>
    <col min="4" max="4" width="19.33203125" style="22" bestFit="1" customWidth="1"/>
    <col min="5" max="5" width="15.33203125" style="22" customWidth="1"/>
    <col min="6" max="6" width="15.33203125" customWidth="1"/>
    <col min="7" max="7" width="14.33203125" bestFit="1" customWidth="1"/>
    <col min="8" max="8" width="18.1640625" customWidth="1"/>
    <col min="9" max="11" width="11" bestFit="1" customWidth="1"/>
    <col min="12" max="12" width="11" customWidth="1"/>
    <col min="13" max="13" width="14.1640625" bestFit="1" customWidth="1"/>
    <col min="14" max="17" width="14.1640625" customWidth="1"/>
  </cols>
  <sheetData>
    <row r="1" spans="1:17" s="3" customFormat="1" ht="34" x14ac:dyDescent="0.2">
      <c r="A1" s="1" t="s">
        <v>0</v>
      </c>
      <c r="B1" s="1" t="s">
        <v>1</v>
      </c>
      <c r="C1" s="17" t="s">
        <v>2</v>
      </c>
      <c r="D1" s="18" t="s">
        <v>12</v>
      </c>
      <c r="E1" s="18" t="s">
        <v>3</v>
      </c>
      <c r="F1" s="1" t="s">
        <v>4</v>
      </c>
      <c r="G1" s="1" t="s">
        <v>13</v>
      </c>
      <c r="H1" s="2" t="s">
        <v>16</v>
      </c>
      <c r="I1" s="2" t="s">
        <v>14</v>
      </c>
      <c r="J1" s="2" t="s">
        <v>5</v>
      </c>
      <c r="K1" s="2" t="s">
        <v>6</v>
      </c>
      <c r="L1" s="2" t="s">
        <v>7</v>
      </c>
      <c r="M1" s="2" t="s">
        <v>11</v>
      </c>
      <c r="N1" s="11" t="s">
        <v>15</v>
      </c>
      <c r="O1" s="11" t="s">
        <v>8</v>
      </c>
      <c r="P1" s="11" t="s">
        <v>9</v>
      </c>
      <c r="Q1" s="11" t="s">
        <v>10</v>
      </c>
    </row>
    <row r="2" spans="1:17" hidden="1" x14ac:dyDescent="0.2">
      <c r="A2" s="13" t="s">
        <v>43</v>
      </c>
      <c r="B2" s="13" t="s">
        <v>17</v>
      </c>
      <c r="C2" s="4">
        <v>374274.36483220127</v>
      </c>
      <c r="D2" s="5">
        <v>6218481</v>
      </c>
      <c r="E2" s="5">
        <v>15299015</v>
      </c>
      <c r="F2" s="6">
        <v>61336</v>
      </c>
      <c r="G2" s="6">
        <v>15243</v>
      </c>
      <c r="H2" s="7">
        <f t="shared" ref="H2:H33" si="0">G2/D2*E2</f>
        <v>37501.583689811065</v>
      </c>
      <c r="I2" s="8">
        <f t="shared" ref="I2:I33" si="1">G2/D2</f>
        <v>2.4512417099931639E-3</v>
      </c>
      <c r="J2" s="8">
        <f t="shared" ref="J2:J33" si="2">F2/E2</f>
        <v>4.0091469941038686E-3</v>
      </c>
      <c r="K2" s="8">
        <f t="shared" ref="K2:K33" si="3">(J2-I2)/I2</f>
        <v>0.63555759424273561</v>
      </c>
      <c r="L2" s="9">
        <f t="shared" ref="L2:L33" si="4">F2-H2</f>
        <v>23834.416310188935</v>
      </c>
      <c r="M2" s="10">
        <f t="shared" ref="M2:M33" si="5">C2/L2</f>
        <v>15.703105960778379</v>
      </c>
      <c r="N2" s="12"/>
      <c r="O2" s="14"/>
      <c r="P2" s="14"/>
      <c r="Q2" s="15">
        <v>0.73774999063496249</v>
      </c>
    </row>
    <row r="3" spans="1:17" hidden="1" x14ac:dyDescent="0.2">
      <c r="A3" s="13" t="s">
        <v>43</v>
      </c>
      <c r="B3" s="13" t="s">
        <v>19</v>
      </c>
      <c r="C3" s="4">
        <v>374274.36483220127</v>
      </c>
      <c r="D3" s="5">
        <v>6218481</v>
      </c>
      <c r="E3" s="5">
        <v>15299015</v>
      </c>
      <c r="F3" s="6">
        <v>6012</v>
      </c>
      <c r="G3" s="6">
        <v>1409</v>
      </c>
      <c r="H3" s="7">
        <f t="shared" si="0"/>
        <v>3466.4915973852776</v>
      </c>
      <c r="I3" s="8">
        <f t="shared" si="1"/>
        <v>2.2658266544514649E-4</v>
      </c>
      <c r="J3" s="8">
        <f t="shared" si="2"/>
        <v>3.9296647529269042E-4</v>
      </c>
      <c r="K3" s="8">
        <f t="shared" si="3"/>
        <v>0.73431835361573095</v>
      </c>
      <c r="L3" s="9">
        <f t="shared" si="4"/>
        <v>2545.5084026147224</v>
      </c>
      <c r="M3" s="10">
        <f t="shared" si="5"/>
        <v>147.03324665821182</v>
      </c>
      <c r="N3" s="12"/>
      <c r="O3" s="14"/>
      <c r="P3" s="14"/>
      <c r="Q3" s="15">
        <v>0.98672095372547519</v>
      </c>
    </row>
    <row r="4" spans="1:17" hidden="1" x14ac:dyDescent="0.2">
      <c r="A4" s="13" t="s">
        <v>43</v>
      </c>
      <c r="B4" s="13" t="s">
        <v>21</v>
      </c>
      <c r="C4" s="4">
        <v>374274.36483220127</v>
      </c>
      <c r="D4" s="5">
        <v>6218481</v>
      </c>
      <c r="E4" s="5">
        <v>15299015</v>
      </c>
      <c r="F4" s="6">
        <v>13554</v>
      </c>
      <c r="G4" s="6">
        <v>3433</v>
      </c>
      <c r="H4" s="7">
        <f t="shared" si="0"/>
        <v>8446.0366599174304</v>
      </c>
      <c r="I4" s="8">
        <f t="shared" si="1"/>
        <v>5.5206408124427813E-4</v>
      </c>
      <c r="J4" s="8">
        <f t="shared" si="2"/>
        <v>8.8593938890837087E-4</v>
      </c>
      <c r="K4" s="8">
        <f t="shared" si="3"/>
        <v>0.6047763638445427</v>
      </c>
      <c r="L4" s="9">
        <f t="shared" si="4"/>
        <v>5107.9633400825696</v>
      </c>
      <c r="M4" s="10">
        <f t="shared" si="5"/>
        <v>73.272719460463307</v>
      </c>
      <c r="N4" s="12"/>
      <c r="O4" s="14"/>
      <c r="P4" s="14"/>
      <c r="Q4" s="15">
        <v>0.24470176155781664</v>
      </c>
    </row>
    <row r="5" spans="1:17" x14ac:dyDescent="0.2">
      <c r="A5" s="13" t="s">
        <v>43</v>
      </c>
      <c r="B5" s="13" t="s">
        <v>23</v>
      </c>
      <c r="C5" s="19">
        <v>374274.36483220127</v>
      </c>
      <c r="D5" s="20">
        <v>6218481</v>
      </c>
      <c r="E5" s="20">
        <v>15299015</v>
      </c>
      <c r="F5" s="6">
        <v>28989</v>
      </c>
      <c r="G5" s="6">
        <v>7343</v>
      </c>
      <c r="H5" s="7">
        <f>G5/D5*E5</f>
        <v>18065.612348899995</v>
      </c>
      <c r="I5" s="8">
        <f>G5/D5</f>
        <v>1.1808349981289642E-3</v>
      </c>
      <c r="J5" s="8">
        <f>F5/E5</f>
        <v>1.8948278696373591E-3</v>
      </c>
      <c r="K5" s="8">
        <f>(J5-I5)/I5</f>
        <v>0.60465083829639044</v>
      </c>
      <c r="L5" s="9">
        <f>F5-H5</f>
        <v>10923.387651100005</v>
      </c>
      <c r="M5" s="10">
        <f>C5/L5</f>
        <v>34.263579833176678</v>
      </c>
      <c r="N5" s="12"/>
      <c r="O5" s="14"/>
      <c r="P5" s="14"/>
      <c r="Q5" s="15">
        <v>0.15452180161815399</v>
      </c>
    </row>
    <row r="6" spans="1:17" hidden="1" x14ac:dyDescent="0.2">
      <c r="A6" s="13" t="s">
        <v>43</v>
      </c>
      <c r="B6" s="13" t="s">
        <v>24</v>
      </c>
      <c r="C6" s="4">
        <v>374274.36483220127</v>
      </c>
      <c r="D6" s="5">
        <v>6218481</v>
      </c>
      <c r="E6" s="5">
        <v>15299015</v>
      </c>
      <c r="F6" s="6">
        <v>25</v>
      </c>
      <c r="G6" s="6">
        <v>4</v>
      </c>
      <c r="H6" s="7">
        <f>G6/D6*E6</f>
        <v>9.8409981472967445</v>
      </c>
      <c r="I6" s="8">
        <f>G6/D6</f>
        <v>6.4324390474136692E-7</v>
      </c>
      <c r="J6" s="8">
        <f>F6/E6</f>
        <v>1.6340921294606221E-6</v>
      </c>
      <c r="K6" s="8">
        <f>(J6-I6)/I6</f>
        <v>1.5403927148251046</v>
      </c>
      <c r="L6" s="9">
        <f>F6-H6</f>
        <v>15.159001852703256</v>
      </c>
      <c r="M6" s="10">
        <f>C6/L6</f>
        <v>24689.908245209306</v>
      </c>
      <c r="N6" s="12"/>
      <c r="O6" s="14"/>
      <c r="P6" s="14"/>
      <c r="Q6" s="15">
        <v>0.82983150522434113</v>
      </c>
    </row>
    <row r="7" spans="1:17" x14ac:dyDescent="0.2">
      <c r="A7" s="13" t="s">
        <v>44</v>
      </c>
      <c r="B7" s="13" t="s">
        <v>23</v>
      </c>
      <c r="C7" s="19">
        <v>374245.14319167705</v>
      </c>
      <c r="D7" s="20">
        <v>10429924</v>
      </c>
      <c r="E7" s="20">
        <v>24285376</v>
      </c>
      <c r="F7" s="6">
        <v>36685</v>
      </c>
      <c r="G7" s="6">
        <v>9160</v>
      </c>
      <c r="H7" s="7">
        <f>G7/D7*E7</f>
        <v>21328.443444074954</v>
      </c>
      <c r="I7" s="8">
        <f>G7/D7</f>
        <v>8.7824225756582695E-4</v>
      </c>
      <c r="J7" s="8">
        <f>F7/E7</f>
        <v>1.5105798650183551E-3</v>
      </c>
      <c r="K7" s="8">
        <f>(J7-I7)/I7</f>
        <v>0.72000362315193256</v>
      </c>
      <c r="L7" s="9">
        <f>F7-H7</f>
        <v>15356.556555925046</v>
      </c>
      <c r="M7" s="10">
        <f>C7/L7</f>
        <v>24.370381591000712</v>
      </c>
      <c r="N7" s="12"/>
      <c r="O7" s="14"/>
      <c r="P7" s="14"/>
      <c r="Q7" s="15">
        <v>0.53257413337536619</v>
      </c>
    </row>
    <row r="8" spans="1:17" hidden="1" x14ac:dyDescent="0.2">
      <c r="A8" s="13" t="s">
        <v>43</v>
      </c>
      <c r="B8" s="13" t="s">
        <v>26</v>
      </c>
      <c r="C8" s="4">
        <v>374274.36483220127</v>
      </c>
      <c r="D8" s="5">
        <v>6218481</v>
      </c>
      <c r="E8" s="5">
        <v>15299015</v>
      </c>
      <c r="F8" s="6">
        <v>4656</v>
      </c>
      <c r="G8" s="6">
        <v>1149</v>
      </c>
      <c r="H8" s="7">
        <f>G8/D8*E8</f>
        <v>2826.8267178109895</v>
      </c>
      <c r="I8" s="8">
        <f>G8/D8</f>
        <v>1.8477181163695764E-4</v>
      </c>
      <c r="J8" s="8">
        <f>F8/E8</f>
        <v>3.0433331819074627E-4</v>
      </c>
      <c r="K8" s="8">
        <f>(J8-I8)/I8</f>
        <v>0.64707655077120108</v>
      </c>
      <c r="L8" s="9">
        <f>F8-H8</f>
        <v>1829.1732821890105</v>
      </c>
      <c r="M8" s="10">
        <f>C8/L8</f>
        <v>204.61394689971593</v>
      </c>
      <c r="N8" s="12"/>
      <c r="O8" s="14"/>
      <c r="P8" s="14"/>
      <c r="Q8" s="15">
        <v>0.65133006933628157</v>
      </c>
    </row>
    <row r="9" spans="1:17" hidden="1" x14ac:dyDescent="0.2">
      <c r="A9" s="13" t="s">
        <v>43</v>
      </c>
      <c r="B9" s="13" t="s">
        <v>27</v>
      </c>
      <c r="C9" s="4">
        <v>374274.36483220127</v>
      </c>
      <c r="D9" s="5">
        <v>6218481</v>
      </c>
      <c r="E9" s="5">
        <v>15299015</v>
      </c>
      <c r="F9" s="6">
        <v>293</v>
      </c>
      <c r="G9" s="6">
        <v>67</v>
      </c>
      <c r="H9" s="7">
        <f>G9/D9*E9</f>
        <v>164.83671896722043</v>
      </c>
      <c r="I9" s="8">
        <f>G9/D9</f>
        <v>1.0774335404417895E-5</v>
      </c>
      <c r="J9" s="8">
        <f>F9/E9</f>
        <v>1.9151559757278493E-5</v>
      </c>
      <c r="K9" s="8">
        <f>(J9-I9)/I9</f>
        <v>0.77751657419404363</v>
      </c>
      <c r="L9" s="9">
        <f>F9-H9</f>
        <v>128.16328103277957</v>
      </c>
      <c r="M9" s="10">
        <f>C9/L9</f>
        <v>2920.2932526085638</v>
      </c>
      <c r="N9" s="12"/>
      <c r="O9" s="14"/>
      <c r="P9" s="14"/>
      <c r="Q9" s="15">
        <v>0.75017428389620788</v>
      </c>
    </row>
    <row r="10" spans="1:17" hidden="1" x14ac:dyDescent="0.2">
      <c r="A10" s="13" t="s">
        <v>43</v>
      </c>
      <c r="B10" s="13" t="s">
        <v>29</v>
      </c>
      <c r="C10" s="4">
        <v>374274.36483220127</v>
      </c>
      <c r="D10" s="5">
        <v>6218481</v>
      </c>
      <c r="E10" s="5">
        <v>15299015</v>
      </c>
      <c r="F10" s="6">
        <v>3</v>
      </c>
      <c r="G10" s="6">
        <v>1</v>
      </c>
      <c r="H10" s="7">
        <f>G10/D10*E10</f>
        <v>2.4602495368241861</v>
      </c>
      <c r="I10" s="8">
        <f>G10/D10</f>
        <v>1.6081097618534173E-7</v>
      </c>
      <c r="J10" s="8">
        <f>F10/E10</f>
        <v>1.9609105553527466E-7</v>
      </c>
      <c r="K10" s="8">
        <f>(J10-I10)/I10</f>
        <v>0.21938850311605024</v>
      </c>
      <c r="L10" s="9">
        <f>F10-H10</f>
        <v>0.53975046317581388</v>
      </c>
      <c r="M10" s="10">
        <f>C10/L10</f>
        <v>693421.10913629399</v>
      </c>
      <c r="N10" s="12"/>
      <c r="O10" s="14"/>
      <c r="P10" s="14"/>
      <c r="Q10" s="15">
        <v>0.40921394328829241</v>
      </c>
    </row>
    <row r="11" spans="1:17" hidden="1" x14ac:dyDescent="0.2">
      <c r="A11" s="13" t="s">
        <v>43</v>
      </c>
      <c r="B11" s="13" t="s">
        <v>30</v>
      </c>
      <c r="C11" s="4">
        <v>374274.36483220127</v>
      </c>
      <c r="D11" s="5">
        <v>6218481</v>
      </c>
      <c r="E11" s="5">
        <v>15299015</v>
      </c>
      <c r="F11" s="6">
        <v>22</v>
      </c>
      <c r="G11" s="6">
        <v>3</v>
      </c>
      <c r="H11" s="7">
        <f>G11/D11*E11</f>
        <v>7.3807486104725575</v>
      </c>
      <c r="I11" s="8">
        <f>G11/D11</f>
        <v>4.8243292855602519E-7</v>
      </c>
      <c r="J11" s="8">
        <f>F11/E11</f>
        <v>1.4380010739253475E-6</v>
      </c>
      <c r="K11" s="8">
        <f>(J11-I11)/I11</f>
        <v>1.980727452061456</v>
      </c>
      <c r="L11" s="9">
        <f>F11-H11</f>
        <v>14.619251389527442</v>
      </c>
      <c r="M11" s="10">
        <f>C11/L11</f>
        <v>25601.472665030866</v>
      </c>
      <c r="N11" s="12"/>
      <c r="O11" s="14"/>
      <c r="P11" s="14"/>
      <c r="Q11" s="15">
        <v>0.88390900334532785</v>
      </c>
    </row>
    <row r="12" spans="1:17" hidden="1" x14ac:dyDescent="0.2">
      <c r="A12" s="13" t="s">
        <v>43</v>
      </c>
      <c r="B12" s="13" t="s">
        <v>31</v>
      </c>
      <c r="C12" s="4">
        <v>374274.36483220127</v>
      </c>
      <c r="D12" s="5">
        <v>6218481</v>
      </c>
      <c r="E12" s="5">
        <v>15299015</v>
      </c>
      <c r="F12" s="6">
        <v>20466</v>
      </c>
      <c r="G12" s="6">
        <v>5249</v>
      </c>
      <c r="H12" s="7">
        <f>G12/D12*E12</f>
        <v>12913.849818790151</v>
      </c>
      <c r="I12" s="8">
        <f>G12/D12</f>
        <v>8.4409681399685876E-4</v>
      </c>
      <c r="J12" s="8">
        <f>F12/E12</f>
        <v>1.3377331808616436E-3</v>
      </c>
      <c r="K12" s="8">
        <f>(J12-I12)/I12</f>
        <v>0.5848101292165544</v>
      </c>
      <c r="L12" s="9">
        <f>F12-H12</f>
        <v>7552.1501812098486</v>
      </c>
      <c r="M12" s="10">
        <f>C12/L12</f>
        <v>49.558649636419545</v>
      </c>
      <c r="N12" s="12"/>
      <c r="O12" s="14"/>
      <c r="P12" s="14"/>
      <c r="Q12" s="15">
        <v>4.9069339698277314E-2</v>
      </c>
    </row>
    <row r="13" spans="1:17" hidden="1" x14ac:dyDescent="0.2">
      <c r="A13" s="13" t="s">
        <v>43</v>
      </c>
      <c r="B13" s="13" t="s">
        <v>46</v>
      </c>
      <c r="C13" s="4">
        <v>374274.36483220127</v>
      </c>
      <c r="D13" s="5">
        <v>6218481</v>
      </c>
      <c r="E13" s="5">
        <v>15299015</v>
      </c>
      <c r="F13" s="16">
        <v>9605</v>
      </c>
      <c r="G13" s="16">
        <v>2481</v>
      </c>
      <c r="H13" s="7">
        <f>G13/D13*E13</f>
        <v>6103.879100860805</v>
      </c>
      <c r="I13" s="8">
        <f>G13/D13</f>
        <v>3.9897203191583281E-4</v>
      </c>
      <c r="J13" s="8">
        <f>F13/E13</f>
        <v>6.2781819613877106E-4</v>
      </c>
      <c r="K13" s="8">
        <f>(J13-I13)/I13</f>
        <v>0.57358948977961355</v>
      </c>
      <c r="L13" s="9">
        <f>F13-H13</f>
        <v>3501.120899139195</v>
      </c>
      <c r="M13" s="10">
        <f>C13/L13</f>
        <v>106.90129693156911</v>
      </c>
      <c r="Q13" s="15">
        <v>0.469819148434369</v>
      </c>
    </row>
    <row r="14" spans="1:17" x14ac:dyDescent="0.2">
      <c r="A14" s="13" t="s">
        <v>45</v>
      </c>
      <c r="B14" s="13" t="s">
        <v>23</v>
      </c>
      <c r="C14" s="19">
        <v>374324.11022995453</v>
      </c>
      <c r="D14" s="20">
        <v>15028309</v>
      </c>
      <c r="E14" s="20">
        <v>33736778</v>
      </c>
      <c r="F14" s="6">
        <v>44029</v>
      </c>
      <c r="G14" s="6">
        <v>11279</v>
      </c>
      <c r="H14" s="7">
        <f>G14/D14*E14</f>
        <v>25320.022303374251</v>
      </c>
      <c r="I14" s="8">
        <f>G14/D14</f>
        <v>7.5051690779049057E-4</v>
      </c>
      <c r="J14" s="8">
        <f>F14/E14</f>
        <v>1.3050742427151757E-3</v>
      </c>
      <c r="K14" s="8">
        <f>(J14-I14)/I14</f>
        <v>0.73890052198463163</v>
      </c>
      <c r="L14" s="9">
        <f>F14-H14</f>
        <v>18708.977696625749</v>
      </c>
      <c r="M14" s="10">
        <f>C14/L14</f>
        <v>20.007726573829078</v>
      </c>
      <c r="N14" s="12"/>
      <c r="O14" s="14"/>
      <c r="P14" s="14"/>
      <c r="Q14" s="15">
        <v>1.0956962805007353E-2</v>
      </c>
    </row>
    <row r="15" spans="1:17" hidden="1" x14ac:dyDescent="0.2">
      <c r="A15" s="13" t="s">
        <v>43</v>
      </c>
      <c r="B15" s="13" t="s">
        <v>33</v>
      </c>
      <c r="C15" s="4">
        <v>374274.36483220127</v>
      </c>
      <c r="D15" s="5">
        <v>6218481</v>
      </c>
      <c r="E15" s="5">
        <v>15299015</v>
      </c>
      <c r="F15" s="6">
        <v>2532</v>
      </c>
      <c r="G15" s="6">
        <v>635</v>
      </c>
      <c r="H15" s="7">
        <f>G15/D15*E15</f>
        <v>1562.258455883358</v>
      </c>
      <c r="I15" s="8">
        <f>G15/D15</f>
        <v>1.02114969877692E-4</v>
      </c>
      <c r="J15" s="8">
        <f>F15/E15</f>
        <v>1.6550085087177181E-4</v>
      </c>
      <c r="K15" s="8">
        <f>(J15-I15)/I15</f>
        <v>0.62073054587393139</v>
      </c>
      <c r="L15" s="9">
        <f>F15-H15</f>
        <v>969.74154411664199</v>
      </c>
      <c r="M15" s="10">
        <f>C15/L15</f>
        <v>385.95269750264816</v>
      </c>
      <c r="N15" s="12"/>
      <c r="O15" s="14"/>
      <c r="P15" s="14"/>
      <c r="Q15" s="15">
        <v>0.469819148434369</v>
      </c>
    </row>
    <row r="16" spans="1:17" hidden="1" x14ac:dyDescent="0.2">
      <c r="A16" s="13" t="s">
        <v>43</v>
      </c>
      <c r="B16" s="13" t="s">
        <v>34</v>
      </c>
      <c r="C16" s="4">
        <v>374274.36483220127</v>
      </c>
      <c r="D16" s="5">
        <v>6218481</v>
      </c>
      <c r="E16" s="5">
        <v>15299015</v>
      </c>
      <c r="F16" s="6">
        <v>138</v>
      </c>
      <c r="G16" s="6">
        <v>32</v>
      </c>
      <c r="H16" s="7">
        <f>G16/D16*E16</f>
        <v>78.727985178373956</v>
      </c>
      <c r="I16" s="8">
        <f>G16/D16</f>
        <v>5.1459512379309354E-6</v>
      </c>
      <c r="J16" s="8">
        <f>F16/E16</f>
        <v>9.0201885546226347E-6</v>
      </c>
      <c r="K16" s="8">
        <f>(J16-I16)/I16</f>
        <v>0.75287097322932228</v>
      </c>
      <c r="L16" s="9">
        <f>F16-H16</f>
        <v>59.272014821626044</v>
      </c>
      <c r="M16" s="10">
        <f>C16/L16</f>
        <v>6314.5207052358064</v>
      </c>
      <c r="N16" s="12"/>
      <c r="O16" s="14"/>
      <c r="P16" s="14"/>
      <c r="Q16" s="15">
        <v>0.65214468641487733</v>
      </c>
    </row>
    <row r="17" spans="1:17" hidden="1" x14ac:dyDescent="0.2">
      <c r="A17" s="13" t="s">
        <v>43</v>
      </c>
      <c r="B17" s="13" t="s">
        <v>35</v>
      </c>
      <c r="C17" s="4">
        <v>374274.36483220127</v>
      </c>
      <c r="D17" s="5">
        <v>6218481</v>
      </c>
      <c r="E17" s="5">
        <v>15299015</v>
      </c>
      <c r="F17" s="6">
        <v>1430</v>
      </c>
      <c r="G17" s="6">
        <v>369</v>
      </c>
      <c r="H17" s="7">
        <f>G17/D17*E17</f>
        <v>907.8320790881246</v>
      </c>
      <c r="I17" s="8">
        <f>G17/D17</f>
        <v>5.9339250212391099E-5</v>
      </c>
      <c r="J17" s="8">
        <f>F17/E17</f>
        <v>9.3470069805147581E-5</v>
      </c>
      <c r="K17" s="8">
        <f>(J17-I17)/I17</f>
        <v>0.575181173853615</v>
      </c>
      <c r="L17" s="9">
        <f>F17-H17</f>
        <v>522.1679209118754</v>
      </c>
      <c r="M17" s="10">
        <f>C17/L17</f>
        <v>716.77012287272692</v>
      </c>
      <c r="N17" s="12"/>
      <c r="O17" s="14"/>
      <c r="P17" s="14"/>
      <c r="Q17" s="15">
        <v>0.29436589895009235</v>
      </c>
    </row>
    <row r="18" spans="1:17" hidden="1" x14ac:dyDescent="0.2">
      <c r="A18" s="13" t="s">
        <v>43</v>
      </c>
      <c r="B18" s="13" t="s">
        <v>36</v>
      </c>
      <c r="C18" s="4">
        <v>374274.36483220127</v>
      </c>
      <c r="D18" s="5">
        <v>6218481</v>
      </c>
      <c r="E18" s="5">
        <v>15299015</v>
      </c>
      <c r="F18" s="6">
        <v>7073</v>
      </c>
      <c r="G18" s="6">
        <v>1846</v>
      </c>
      <c r="H18" s="7">
        <f>G18/D18*E18</f>
        <v>4541.6206449774472</v>
      </c>
      <c r="I18" s="8">
        <f>G18/D18</f>
        <v>2.9685706203814083E-4</v>
      </c>
      <c r="J18" s="8">
        <f>F18/E18</f>
        <v>4.6231734526699919E-4</v>
      </c>
      <c r="K18" s="8">
        <f>(J18-I18)/I18</f>
        <v>0.55737357936797094</v>
      </c>
      <c r="L18" s="9">
        <f>F18-H18</f>
        <v>2531.3793550225528</v>
      </c>
      <c r="M18" s="10">
        <f>C18/L18</f>
        <v>147.8539216532667</v>
      </c>
      <c r="N18" s="12"/>
      <c r="O18" s="14"/>
      <c r="P18" s="14"/>
      <c r="Q18" s="15">
        <v>5.1184765726152381E-2</v>
      </c>
    </row>
    <row r="19" spans="1:17" hidden="1" x14ac:dyDescent="0.2">
      <c r="A19" s="13" t="s">
        <v>43</v>
      </c>
      <c r="B19" s="13" t="s">
        <v>37</v>
      </c>
      <c r="C19" s="4">
        <v>374274.36483220127</v>
      </c>
      <c r="D19" s="5">
        <v>6218481</v>
      </c>
      <c r="E19" s="5">
        <v>15299015</v>
      </c>
      <c r="F19" s="6">
        <v>46</v>
      </c>
      <c r="G19" s="6">
        <v>11</v>
      </c>
      <c r="H19" s="7">
        <f>G19/D19*E19</f>
        <v>27.062744905066044</v>
      </c>
      <c r="I19" s="8">
        <f>G19/D19</f>
        <v>1.7689207380387589E-6</v>
      </c>
      <c r="J19" s="8">
        <f>F19/E19</f>
        <v>3.0067295182075448E-6</v>
      </c>
      <c r="K19" s="8">
        <f>(J19-I19)/I19</f>
        <v>0.69975367101025199</v>
      </c>
      <c r="L19" s="9">
        <f>F19-H19</f>
        <v>18.937255094933956</v>
      </c>
      <c r="M19" s="10">
        <f>C19/L19</f>
        <v>19763.918421964234</v>
      </c>
      <c r="N19" s="12"/>
      <c r="O19" s="14"/>
      <c r="P19" s="14"/>
      <c r="Q19" s="15">
        <v>0.55313684288699339</v>
      </c>
    </row>
    <row r="20" spans="1:17" hidden="1" x14ac:dyDescent="0.2">
      <c r="A20" s="13" t="s">
        <v>43</v>
      </c>
      <c r="B20" s="13" t="s">
        <v>38</v>
      </c>
      <c r="C20" s="4">
        <v>374274.36483220127</v>
      </c>
      <c r="D20" s="5">
        <v>6218481</v>
      </c>
      <c r="E20" s="5">
        <v>15299015</v>
      </c>
      <c r="F20" s="6">
        <v>64</v>
      </c>
      <c r="G20" s="6">
        <v>19</v>
      </c>
      <c r="H20" s="7">
        <f>G20/D20*E20</f>
        <v>46.744741199659536</v>
      </c>
      <c r="I20" s="8">
        <f>G20/D20</f>
        <v>3.055408547521493E-6</v>
      </c>
      <c r="J20" s="8">
        <f>F20/E20</f>
        <v>4.1832758514191924E-6</v>
      </c>
      <c r="K20" s="8">
        <f>(J20-I20)/I20</f>
        <v>0.36913796841100366</v>
      </c>
      <c r="L20" s="9">
        <f>F20-H20</f>
        <v>17.255258800340464</v>
      </c>
      <c r="M20" s="10">
        <f>C20/L20</f>
        <v>21690.452120301808</v>
      </c>
      <c r="N20" s="12"/>
      <c r="O20" s="14"/>
      <c r="P20" s="14"/>
      <c r="Q20" s="15">
        <v>0.26557036245578958</v>
      </c>
    </row>
    <row r="21" spans="1:17" hidden="1" x14ac:dyDescent="0.2">
      <c r="A21" s="13" t="s">
        <v>43</v>
      </c>
      <c r="B21" s="13" t="s">
        <v>39</v>
      </c>
      <c r="C21" s="4">
        <v>374274.36483220127</v>
      </c>
      <c r="D21" s="5">
        <v>6218481</v>
      </c>
      <c r="E21" s="5">
        <v>15299015</v>
      </c>
      <c r="F21" s="6">
        <v>967</v>
      </c>
      <c r="G21" s="6">
        <v>258</v>
      </c>
      <c r="H21" s="7">
        <f>G21/D21*E21</f>
        <v>634.74438050063998</v>
      </c>
      <c r="I21" s="8">
        <f>G21/D21</f>
        <v>4.1489231855818164E-5</v>
      </c>
      <c r="J21" s="8">
        <f>F21/E21</f>
        <v>6.3206683567536862E-5</v>
      </c>
      <c r="K21" s="8">
        <f>(J21-I21)/I21</f>
        <v>0.52344791022379922</v>
      </c>
      <c r="L21" s="9">
        <f>F21-H21</f>
        <v>332.25561949936002</v>
      </c>
      <c r="M21" s="10">
        <f>C21/L21</f>
        <v>1126.4651156123552</v>
      </c>
      <c r="N21" s="12"/>
      <c r="O21" s="14"/>
      <c r="P21" s="14"/>
      <c r="Q21" s="15">
        <v>0.18048437262819417</v>
      </c>
    </row>
    <row r="22" spans="1:17" hidden="1" x14ac:dyDescent="0.2">
      <c r="A22" s="13" t="s">
        <v>43</v>
      </c>
      <c r="B22" s="13" t="s">
        <v>40</v>
      </c>
      <c r="C22" s="4">
        <v>374274.36483220127</v>
      </c>
      <c r="D22" s="5">
        <v>6218481</v>
      </c>
      <c r="E22" s="5">
        <v>15299015</v>
      </c>
      <c r="F22" s="6">
        <v>2532</v>
      </c>
      <c r="G22" s="6">
        <v>635</v>
      </c>
      <c r="H22" s="7">
        <f>G22/D22*E22</f>
        <v>1562.258455883358</v>
      </c>
      <c r="I22" s="8">
        <f>G22/D22</f>
        <v>1.02114969877692E-4</v>
      </c>
      <c r="J22" s="8">
        <f>F22/E22</f>
        <v>1.6550085087177181E-4</v>
      </c>
      <c r="K22" s="8">
        <f>(J22-I22)/I22</f>
        <v>0.62073054587393139</v>
      </c>
      <c r="L22" s="9">
        <f>F22-H22</f>
        <v>969.74154411664199</v>
      </c>
      <c r="M22" s="10">
        <f>C22/L22</f>
        <v>385.95269750264816</v>
      </c>
      <c r="N22" s="12"/>
      <c r="O22" s="14"/>
      <c r="P22" s="14"/>
      <c r="Q22" s="15">
        <v>0.469819148434369</v>
      </c>
    </row>
    <row r="23" spans="1:17" hidden="1" x14ac:dyDescent="0.2">
      <c r="A23" s="13" t="s">
        <v>43</v>
      </c>
      <c r="B23" s="13" t="s">
        <v>41</v>
      </c>
      <c r="C23" s="4">
        <v>374274.36483220127</v>
      </c>
      <c r="D23" s="5">
        <v>6218481</v>
      </c>
      <c r="E23" s="5">
        <v>15299015</v>
      </c>
      <c r="F23" s="6">
        <v>2512</v>
      </c>
      <c r="G23" s="6">
        <v>628</v>
      </c>
      <c r="H23" s="7">
        <f>G23/D23*E23</f>
        <v>1545.0367091255887</v>
      </c>
      <c r="I23" s="8">
        <f>G23/D23</f>
        <v>1.0098929304439461E-4</v>
      </c>
      <c r="J23" s="8">
        <f>F23/E23</f>
        <v>1.6419357716820332E-4</v>
      </c>
      <c r="K23" s="8">
        <f>(J23-I23)/I23</f>
        <v>0.62585133748806698</v>
      </c>
      <c r="L23" s="9">
        <f>F23-H23</f>
        <v>966.96329087441131</v>
      </c>
      <c r="M23" s="10">
        <f>C23/L23</f>
        <v>387.06160654118548</v>
      </c>
      <c r="N23" s="12"/>
      <c r="O23" s="14"/>
      <c r="P23" s="14"/>
      <c r="Q23" s="15">
        <v>0.49812726608235136</v>
      </c>
    </row>
    <row r="24" spans="1:17" hidden="1" x14ac:dyDescent="0.2">
      <c r="A24" s="13" t="s">
        <v>43</v>
      </c>
      <c r="B24" s="13" t="s">
        <v>42</v>
      </c>
      <c r="C24" s="4">
        <v>374274.36483220127</v>
      </c>
      <c r="D24" s="5">
        <v>6218481</v>
      </c>
      <c r="E24" s="5">
        <v>15299015</v>
      </c>
      <c r="F24" s="6">
        <v>8267</v>
      </c>
      <c r="G24" s="6">
        <v>2069</v>
      </c>
      <c r="H24" s="7">
        <f>G24/D24*E24</f>
        <v>5090.2562916892402</v>
      </c>
      <c r="I24" s="8">
        <f>G24/D24</f>
        <v>3.3271790972747202E-4</v>
      </c>
      <c r="J24" s="8">
        <f>F24/E24</f>
        <v>5.4036158537003852E-4</v>
      </c>
      <c r="K24" s="8">
        <f>(J24-I24)/I24</f>
        <v>0.62408325362661321</v>
      </c>
      <c r="L24" s="9">
        <f>F24-H24</f>
        <v>3176.7437083107598</v>
      </c>
      <c r="M24" s="10">
        <f>C24/L24</f>
        <v>117.81698468562404</v>
      </c>
      <c r="N24" s="12"/>
      <c r="O24" s="14"/>
      <c r="P24" s="14"/>
      <c r="Q24" s="15">
        <v>0.47895735862656841</v>
      </c>
    </row>
    <row r="25" spans="1:17" hidden="1" x14ac:dyDescent="0.2">
      <c r="A25" s="13" t="s">
        <v>44</v>
      </c>
      <c r="B25" s="13" t="s">
        <v>17</v>
      </c>
      <c r="C25" s="4">
        <v>374245.14319167705</v>
      </c>
      <c r="D25" s="5">
        <v>10429924</v>
      </c>
      <c r="E25" s="5">
        <v>24285376</v>
      </c>
      <c r="F25" s="6">
        <v>79156</v>
      </c>
      <c r="G25" s="6">
        <v>19863</v>
      </c>
      <c r="H25" s="7">
        <f>G25/D25*E25</f>
        <v>46249.658529438952</v>
      </c>
      <c r="I25" s="8">
        <f>G25/D25</f>
        <v>1.9044242316626661E-3</v>
      </c>
      <c r="J25" s="8">
        <f>F25/E25</f>
        <v>3.2594101075478512E-3</v>
      </c>
      <c r="K25" s="8">
        <f>(J25-I25)/I25</f>
        <v>0.71149371729124067</v>
      </c>
      <c r="L25" s="9">
        <f>F25-H25</f>
        <v>32906.341470561048</v>
      </c>
      <c r="M25" s="10">
        <f>C25/L25</f>
        <v>11.373040163899333</v>
      </c>
      <c r="N25" s="12"/>
      <c r="O25" s="14"/>
      <c r="P25" s="14"/>
      <c r="Q25" s="15">
        <v>0.30690163511892354</v>
      </c>
    </row>
    <row r="26" spans="1:17" hidden="1" x14ac:dyDescent="0.2">
      <c r="A26" s="13" t="s">
        <v>44</v>
      </c>
      <c r="B26" s="13" t="s">
        <v>18</v>
      </c>
      <c r="C26" s="4">
        <v>374245.14319167705</v>
      </c>
      <c r="D26" s="5">
        <v>10429924</v>
      </c>
      <c r="E26" s="5">
        <v>24285376</v>
      </c>
      <c r="F26" s="6">
        <v>1</v>
      </c>
      <c r="G26" s="6">
        <v>0</v>
      </c>
      <c r="H26" s="7">
        <f>G26/D26*E26</f>
        <v>0</v>
      </c>
      <c r="I26" s="8">
        <f>G26/D26</f>
        <v>0</v>
      </c>
      <c r="J26" s="8">
        <f>F26/E26</f>
        <v>4.1177044160238655E-8</v>
      </c>
      <c r="K26" s="8" t="e">
        <f>(J26-I26)/I26</f>
        <v>#DIV/0!</v>
      </c>
      <c r="L26" s="9">
        <f>F26-H26</f>
        <v>1</v>
      </c>
      <c r="M26" s="10">
        <f>C26/L26</f>
        <v>374245.14319167705</v>
      </c>
      <c r="N26" s="12"/>
      <c r="O26" s="14"/>
      <c r="P26" s="14"/>
      <c r="Q26" s="15"/>
    </row>
    <row r="27" spans="1:17" hidden="1" x14ac:dyDescent="0.2">
      <c r="A27" s="13" t="s">
        <v>44</v>
      </c>
      <c r="B27" s="13" t="s">
        <v>19</v>
      </c>
      <c r="C27" s="4">
        <v>374245.14319167705</v>
      </c>
      <c r="D27" s="5">
        <v>10429924</v>
      </c>
      <c r="E27" s="5">
        <v>24285376</v>
      </c>
      <c r="F27" s="6">
        <v>7671</v>
      </c>
      <c r="G27" s="6">
        <v>1944</v>
      </c>
      <c r="H27" s="7">
        <f>G27/D27*E27</f>
        <v>4526.4731501399247</v>
      </c>
      <c r="I27" s="8">
        <f>G27/D27</f>
        <v>1.8638678479344624E-4</v>
      </c>
      <c r="J27" s="8">
        <f>F27/E27</f>
        <v>3.1586910575319074E-4</v>
      </c>
      <c r="K27" s="8">
        <f>(J27-I27)/I27</f>
        <v>0.69469689658114309</v>
      </c>
      <c r="L27" s="9">
        <f>F27-H27</f>
        <v>3144.5268498600753</v>
      </c>
      <c r="M27" s="10">
        <f>C27/L27</f>
        <v>119.014771080212</v>
      </c>
      <c r="N27" s="12"/>
      <c r="O27" s="14"/>
      <c r="P27" s="14"/>
      <c r="Q27" s="15">
        <v>0.29323593293799599</v>
      </c>
    </row>
    <row r="28" spans="1:17" hidden="1" x14ac:dyDescent="0.2">
      <c r="A28" s="13" t="s">
        <v>44</v>
      </c>
      <c r="B28" s="13" t="s">
        <v>20</v>
      </c>
      <c r="C28" s="4">
        <v>374245.14319167705</v>
      </c>
      <c r="D28" s="5">
        <v>10429924</v>
      </c>
      <c r="E28" s="5">
        <v>24285376</v>
      </c>
      <c r="F28" s="6">
        <v>1</v>
      </c>
      <c r="G28" s="6">
        <v>0</v>
      </c>
      <c r="H28" s="7">
        <f>G28/D28*E28</f>
        <v>0</v>
      </c>
      <c r="I28" s="8">
        <f>G28/D28</f>
        <v>0</v>
      </c>
      <c r="J28" s="8">
        <f>F28/E28</f>
        <v>4.1177044160238655E-8</v>
      </c>
      <c r="K28" s="8" t="e">
        <f>(J28-I28)/I28</f>
        <v>#DIV/0!</v>
      </c>
      <c r="L28" s="9">
        <f>F28-H28</f>
        <v>1</v>
      </c>
      <c r="M28" s="10">
        <f>C28/L28</f>
        <v>374245.14319167705</v>
      </c>
      <c r="N28" s="12"/>
      <c r="O28" s="14"/>
      <c r="P28" s="14"/>
      <c r="Q28" s="15"/>
    </row>
    <row r="29" spans="1:17" hidden="1" x14ac:dyDescent="0.2">
      <c r="A29" s="13" t="s">
        <v>44</v>
      </c>
      <c r="B29" s="13" t="s">
        <v>21</v>
      </c>
      <c r="C29" s="4">
        <v>374245.14319167705</v>
      </c>
      <c r="D29" s="5">
        <v>10429924</v>
      </c>
      <c r="E29" s="5">
        <v>24285376</v>
      </c>
      <c r="F29" s="6">
        <v>21094</v>
      </c>
      <c r="G29" s="6">
        <v>5265</v>
      </c>
      <c r="H29" s="7">
        <f>G29/D29*E29</f>
        <v>12259.198114962295</v>
      </c>
      <c r="I29" s="8">
        <f>G29/D29</f>
        <v>5.0479754214891688E-4</v>
      </c>
      <c r="J29" s="8">
        <f>F29/E29</f>
        <v>8.6858856951607416E-4</v>
      </c>
      <c r="K29" s="8">
        <f>(J29-I29)/I29</f>
        <v>0.72066719227376463</v>
      </c>
      <c r="L29" s="9">
        <f>F29-H29</f>
        <v>8834.8018850377048</v>
      </c>
      <c r="M29" s="10">
        <f>C29/L29</f>
        <v>42.360332247572508</v>
      </c>
      <c r="N29" s="12"/>
      <c r="O29" s="14"/>
      <c r="P29" s="14"/>
      <c r="Q29" s="15">
        <v>0.53467373619471714</v>
      </c>
    </row>
    <row r="30" spans="1:17" hidden="1" x14ac:dyDescent="0.2">
      <c r="A30" s="13" t="s">
        <v>44</v>
      </c>
      <c r="B30" s="13" t="s">
        <v>22</v>
      </c>
      <c r="C30" s="4">
        <v>374245.14319167705</v>
      </c>
      <c r="D30" s="5">
        <v>10429924</v>
      </c>
      <c r="E30" s="5">
        <v>24285376</v>
      </c>
      <c r="F30" s="6">
        <v>1</v>
      </c>
      <c r="G30" s="6">
        <v>0</v>
      </c>
      <c r="H30" s="7">
        <f>G30/D30*E30</f>
        <v>0</v>
      </c>
      <c r="I30" s="8">
        <f>G30/D30</f>
        <v>0</v>
      </c>
      <c r="J30" s="8">
        <f>F30/E30</f>
        <v>4.1177044160238655E-8</v>
      </c>
      <c r="K30" s="8" t="e">
        <f>(J30-I30)/I30</f>
        <v>#DIV/0!</v>
      </c>
      <c r="L30" s="9">
        <f>F30-H30</f>
        <v>1</v>
      </c>
      <c r="M30" s="10">
        <f>C30/L30</f>
        <v>374245.14319167705</v>
      </c>
      <c r="N30" s="12"/>
      <c r="O30" s="14"/>
      <c r="P30" s="14"/>
      <c r="Q30" s="15"/>
    </row>
    <row r="31" spans="1:17" x14ac:dyDescent="0.2">
      <c r="A31" s="13" t="s">
        <v>43</v>
      </c>
      <c r="B31" s="13" t="s">
        <v>25</v>
      </c>
      <c r="C31" s="19">
        <v>374274.36483220127</v>
      </c>
      <c r="D31" s="20">
        <v>6218481</v>
      </c>
      <c r="E31" s="20">
        <v>15299015</v>
      </c>
      <c r="F31" s="6">
        <v>4954</v>
      </c>
      <c r="G31" s="6">
        <v>1211</v>
      </c>
      <c r="H31" s="7">
        <f>G31/D31*E31</f>
        <v>2979.3621890940894</v>
      </c>
      <c r="I31" s="8">
        <f>G31/D31</f>
        <v>1.9474209216044884E-4</v>
      </c>
      <c r="J31" s="8">
        <f>F31/E31</f>
        <v>3.2381169637391688E-4</v>
      </c>
      <c r="K31" s="8">
        <f>(J31-I31)/I31</f>
        <v>0.66277199131211473</v>
      </c>
      <c r="L31" s="9">
        <f>F31-H31</f>
        <v>1974.6378109059106</v>
      </c>
      <c r="M31" s="10">
        <f>C31/L31</f>
        <v>189.54076680041607</v>
      </c>
      <c r="N31" s="12"/>
      <c r="O31" s="14"/>
      <c r="P31" s="14"/>
      <c r="Q31" s="15">
        <v>0.75761857815757949</v>
      </c>
    </row>
    <row r="32" spans="1:17" hidden="1" x14ac:dyDescent="0.2">
      <c r="A32" s="13" t="s">
        <v>44</v>
      </c>
      <c r="B32" s="13" t="s">
        <v>24</v>
      </c>
      <c r="C32" s="4">
        <v>374245.14319167705</v>
      </c>
      <c r="D32" s="5">
        <v>10429924</v>
      </c>
      <c r="E32" s="5">
        <v>24285376</v>
      </c>
      <c r="F32" s="6">
        <v>15</v>
      </c>
      <c r="G32" s="6">
        <v>10</v>
      </c>
      <c r="H32" s="7">
        <f>G32/D32*E32</f>
        <v>23.284326904011959</v>
      </c>
      <c r="I32" s="8">
        <f>G32/D32</f>
        <v>9.5877975716793337E-7</v>
      </c>
      <c r="J32" s="8">
        <f>F32/E32</f>
        <v>6.1765566240357989E-7</v>
      </c>
      <c r="K32" s="8">
        <f>(J32-I32)/I32</f>
        <v>-0.35578983829610045</v>
      </c>
      <c r="L32" s="9">
        <f>F32-H32</f>
        <v>-8.2843269040119587</v>
      </c>
      <c r="M32" s="10">
        <f>C32/L32</f>
        <v>-45175.08151572779</v>
      </c>
      <c r="N32" s="12"/>
      <c r="O32" s="14"/>
      <c r="P32" s="14"/>
      <c r="Q32" s="15">
        <v>2.9367119882646842E-2</v>
      </c>
    </row>
    <row r="33" spans="1:17" x14ac:dyDescent="0.2">
      <c r="A33" s="13" t="s">
        <v>44</v>
      </c>
      <c r="B33" s="13" t="s">
        <v>25</v>
      </c>
      <c r="C33" s="19">
        <v>374245.14319167705</v>
      </c>
      <c r="D33" s="20">
        <v>10429924</v>
      </c>
      <c r="E33" s="20">
        <v>24285376</v>
      </c>
      <c r="F33" s="6">
        <v>6378</v>
      </c>
      <c r="G33" s="6">
        <v>1551</v>
      </c>
      <c r="H33" s="7">
        <f>G33/D33*E33</f>
        <v>3611.3991028122546</v>
      </c>
      <c r="I33" s="8">
        <f>G33/D33</f>
        <v>1.4870674033674647E-4</v>
      </c>
      <c r="J33" s="8">
        <f>F33/E33</f>
        <v>2.6262718765400212E-4</v>
      </c>
      <c r="K33" s="8">
        <f>(J33-I33)/I33</f>
        <v>0.76607453743712473</v>
      </c>
      <c r="L33" s="9">
        <f>F33-H33</f>
        <v>2766.6008971877454</v>
      </c>
      <c r="M33" s="10">
        <f>C33/L33</f>
        <v>135.27254457702875</v>
      </c>
      <c r="N33" s="12"/>
      <c r="O33" s="14"/>
      <c r="P33" s="14"/>
      <c r="Q33" s="15">
        <v>0.83532759554280223</v>
      </c>
    </row>
    <row r="34" spans="1:17" hidden="1" x14ac:dyDescent="0.2">
      <c r="A34" s="13" t="s">
        <v>44</v>
      </c>
      <c r="B34" s="13" t="s">
        <v>26</v>
      </c>
      <c r="C34" s="4">
        <v>374245.14319167705</v>
      </c>
      <c r="D34" s="5">
        <v>10429924</v>
      </c>
      <c r="E34" s="5">
        <v>24285376</v>
      </c>
      <c r="F34" s="6">
        <v>6002</v>
      </c>
      <c r="G34" s="6">
        <v>1479</v>
      </c>
      <c r="H34" s="7">
        <f>G34/D34*E34</f>
        <v>3443.7519491033681</v>
      </c>
      <c r="I34" s="8">
        <f>G34/D34</f>
        <v>1.4180352608513734E-4</v>
      </c>
      <c r="J34" s="8">
        <f>F34/E34</f>
        <v>2.4714461904975241E-4</v>
      </c>
      <c r="K34" s="8">
        <f>(J34-I34)/I34</f>
        <v>0.74286652717908719</v>
      </c>
      <c r="L34" s="9">
        <f>F34-H34</f>
        <v>2558.2480508966319</v>
      </c>
      <c r="M34" s="10">
        <f>C34/L34</f>
        <v>146.28962311160919</v>
      </c>
      <c r="N34" s="12"/>
      <c r="O34" s="14"/>
      <c r="P34" s="14"/>
      <c r="Q34" s="15">
        <v>0.68787892254485428</v>
      </c>
    </row>
    <row r="35" spans="1:17" hidden="1" x14ac:dyDescent="0.2">
      <c r="A35" s="13" t="s">
        <v>44</v>
      </c>
      <c r="B35" s="13" t="s">
        <v>27</v>
      </c>
      <c r="C35" s="4">
        <v>374245.14319167705</v>
      </c>
      <c r="D35" s="5">
        <v>10429924</v>
      </c>
      <c r="E35" s="5">
        <v>24285376</v>
      </c>
      <c r="F35" s="6">
        <v>370</v>
      </c>
      <c r="G35" s="6">
        <v>73</v>
      </c>
      <c r="H35" s="7">
        <f>G35/D35*E35</f>
        <v>169.97558639928727</v>
      </c>
      <c r="I35" s="8">
        <f>G35/D35</f>
        <v>6.9990922273259132E-6</v>
      </c>
      <c r="J35" s="8">
        <f>F35/E35</f>
        <v>1.5235506339288303E-5</v>
      </c>
      <c r="K35" s="8">
        <f>(J35-I35)/I35</f>
        <v>1.1767831947985647</v>
      </c>
      <c r="L35" s="9">
        <f>F35-H35</f>
        <v>200.02441360071273</v>
      </c>
      <c r="M35" s="10">
        <f>C35/L35</f>
        <v>1870.9973270499993</v>
      </c>
      <c r="N35" s="12"/>
      <c r="O35" s="14"/>
      <c r="P35" s="14"/>
      <c r="Q35" s="15">
        <v>0.97650973016318288</v>
      </c>
    </row>
    <row r="36" spans="1:17" hidden="1" x14ac:dyDescent="0.2">
      <c r="A36" s="13" t="s">
        <v>44</v>
      </c>
      <c r="B36" s="13" t="s">
        <v>28</v>
      </c>
      <c r="C36" s="4">
        <v>374245.14319167705</v>
      </c>
      <c r="D36" s="5">
        <v>10429924</v>
      </c>
      <c r="E36" s="5">
        <v>24285376</v>
      </c>
      <c r="F36" s="6">
        <v>1</v>
      </c>
      <c r="G36" s="6">
        <v>0</v>
      </c>
      <c r="H36" s="7">
        <f>G36/D36*E36</f>
        <v>0</v>
      </c>
      <c r="I36" s="8">
        <f>G36/D36</f>
        <v>0</v>
      </c>
      <c r="J36" s="8">
        <f>F36/E36</f>
        <v>4.1177044160238655E-8</v>
      </c>
      <c r="K36" s="8" t="e">
        <f>(J36-I36)/I36</f>
        <v>#DIV/0!</v>
      </c>
      <c r="L36" s="9">
        <f>F36-H36</f>
        <v>1</v>
      </c>
      <c r="M36" s="10">
        <f>C36/L36</f>
        <v>374245.14319167705</v>
      </c>
      <c r="N36" s="12"/>
      <c r="O36" s="14"/>
      <c r="P36" s="14"/>
      <c r="Q36" s="15"/>
    </row>
    <row r="37" spans="1:17" hidden="1" x14ac:dyDescent="0.2">
      <c r="A37" s="13" t="s">
        <v>44</v>
      </c>
      <c r="B37" s="13" t="s">
        <v>29</v>
      </c>
      <c r="C37" s="4">
        <v>374245.14319167705</v>
      </c>
      <c r="D37" s="5">
        <v>10429924</v>
      </c>
      <c r="E37" s="5">
        <v>24285376</v>
      </c>
      <c r="F37" s="6">
        <v>2</v>
      </c>
      <c r="G37" s="6">
        <v>1</v>
      </c>
      <c r="H37" s="7">
        <f>G37/D37*E37</f>
        <v>2.3284326904011956</v>
      </c>
      <c r="I37" s="8">
        <f>G37/D37</f>
        <v>9.5877975716793329E-8</v>
      </c>
      <c r="J37" s="8">
        <f>F37/E37</f>
        <v>8.235408832047731E-8</v>
      </c>
      <c r="K37" s="8">
        <f>(J37-I37)/I37</f>
        <v>-0.14105311772813395</v>
      </c>
      <c r="L37" s="9">
        <f>F37-H37</f>
        <v>-0.3284326904011956</v>
      </c>
      <c r="M37" s="10">
        <f>C37/L37</f>
        <v>-1139488.1025226796</v>
      </c>
      <c r="N37" s="12"/>
      <c r="O37" s="14"/>
      <c r="P37" s="14"/>
      <c r="Q37" s="15">
        <v>0.31862483481732196</v>
      </c>
    </row>
    <row r="38" spans="1:17" hidden="1" x14ac:dyDescent="0.2">
      <c r="A38" s="13" t="s">
        <v>44</v>
      </c>
      <c r="B38" s="13" t="s">
        <v>30</v>
      </c>
      <c r="C38" s="4">
        <v>374245.14319167705</v>
      </c>
      <c r="D38" s="5">
        <v>10429924</v>
      </c>
      <c r="E38" s="5">
        <v>24285376</v>
      </c>
      <c r="F38" s="6">
        <v>13</v>
      </c>
      <c r="G38" s="6">
        <v>9</v>
      </c>
      <c r="H38" s="7">
        <f>G38/D38*E38</f>
        <v>20.955894213610762</v>
      </c>
      <c r="I38" s="8">
        <f>G38/D38</f>
        <v>8.6290178145114005E-7</v>
      </c>
      <c r="J38" s="8">
        <f>F38/E38</f>
        <v>5.3530157408310248E-7</v>
      </c>
      <c r="K38" s="8">
        <f>(J38-I38)/I38</f>
        <v>-0.3796494739147635</v>
      </c>
      <c r="L38" s="9">
        <f>F38-H38</f>
        <v>-7.9558942136107618</v>
      </c>
      <c r="M38" s="10">
        <f>C38/L38</f>
        <v>-47039.984839344273</v>
      </c>
      <c r="N38" s="12"/>
      <c r="O38" s="14"/>
      <c r="P38" s="14"/>
      <c r="Q38" s="15">
        <v>3.3184324812029264E-2</v>
      </c>
    </row>
    <row r="39" spans="1:17" hidden="1" x14ac:dyDescent="0.2">
      <c r="A39" s="13" t="s">
        <v>44</v>
      </c>
      <c r="B39" s="13" t="s">
        <v>31</v>
      </c>
      <c r="C39" s="4">
        <v>374245.14319167705</v>
      </c>
      <c r="D39" s="5">
        <v>10429924</v>
      </c>
      <c r="E39" s="5">
        <v>24285376</v>
      </c>
      <c r="F39" s="6">
        <v>25988</v>
      </c>
      <c r="G39" s="6">
        <v>6474</v>
      </c>
      <c r="H39" s="7">
        <f>G39/D39*E39</f>
        <v>15074.27323765734</v>
      </c>
      <c r="I39" s="8">
        <f>G39/D39</f>
        <v>6.2071401479052001E-4</v>
      </c>
      <c r="J39" s="8">
        <f>F39/E39</f>
        <v>1.0701090236362822E-3</v>
      </c>
      <c r="K39" s="8">
        <f>(J39-I39)/I39</f>
        <v>0.72399687801060053</v>
      </c>
      <c r="L39" s="9">
        <f>F39-H39</f>
        <v>10913.72676234266</v>
      </c>
      <c r="M39" s="10">
        <f>C39/L39</f>
        <v>34.291232623029714</v>
      </c>
      <c r="N39" s="12"/>
      <c r="O39" s="14"/>
      <c r="P39" s="14"/>
      <c r="Q39" s="15">
        <v>0.59325988768361926</v>
      </c>
    </row>
    <row r="40" spans="1:17" hidden="1" x14ac:dyDescent="0.2">
      <c r="A40" s="13" t="s">
        <v>44</v>
      </c>
      <c r="B40" s="13" t="s">
        <v>46</v>
      </c>
      <c r="C40" s="4">
        <v>374245.14319167705</v>
      </c>
      <c r="D40" s="5">
        <v>10429924</v>
      </c>
      <c r="E40" s="5">
        <v>24285376</v>
      </c>
      <c r="F40" s="16">
        <v>12109</v>
      </c>
      <c r="G40" s="16">
        <v>3052</v>
      </c>
      <c r="H40" s="7">
        <f>G40/D40*E40</f>
        <v>7106.3765711044498</v>
      </c>
      <c r="I40" s="8">
        <f>G40/D40</f>
        <v>2.9261958188765328E-4</v>
      </c>
      <c r="J40" s="8">
        <f>F40/E40</f>
        <v>4.9861282773632984E-4</v>
      </c>
      <c r="K40" s="8">
        <f>(J40-I40)/I40</f>
        <v>0.70396261425786755</v>
      </c>
      <c r="L40" s="9">
        <f>F40-H40</f>
        <v>5002.6234288955502</v>
      </c>
      <c r="M40" s="10">
        <f>C40/L40</f>
        <v>74.809777012198722</v>
      </c>
      <c r="Q40" s="15">
        <v>0.25454897024389456</v>
      </c>
    </row>
    <row r="41" spans="1:17" x14ac:dyDescent="0.2">
      <c r="A41" s="13" t="s">
        <v>45</v>
      </c>
      <c r="B41" s="13" t="s">
        <v>25</v>
      </c>
      <c r="C41" s="19">
        <v>374324.11022995453</v>
      </c>
      <c r="D41" s="20">
        <v>15028309</v>
      </c>
      <c r="E41" s="20">
        <v>33736778</v>
      </c>
      <c r="F41" s="6">
        <v>7586</v>
      </c>
      <c r="G41" s="6">
        <v>1918</v>
      </c>
      <c r="H41" s="7">
        <f>G41/D41*E41</f>
        <v>4305.6833742239396</v>
      </c>
      <c r="I41" s="8">
        <f>G41/D41</f>
        <v>1.2762580274334258E-4</v>
      </c>
      <c r="J41" s="8">
        <f>F41/E41</f>
        <v>2.2485846158752919E-4</v>
      </c>
      <c r="K41" s="8">
        <f>(J41-I41)/I41</f>
        <v>0.76185737330657943</v>
      </c>
      <c r="L41" s="9">
        <f>F41-H41</f>
        <v>3280.3166257760604</v>
      </c>
      <c r="M41" s="10">
        <f>C41/L41</f>
        <v>114.11218883219743</v>
      </c>
      <c r="N41" s="12"/>
      <c r="O41" s="14"/>
      <c r="P41" s="14"/>
      <c r="Q41" s="15">
        <v>0.33059039295794612</v>
      </c>
    </row>
    <row r="42" spans="1:17" hidden="1" x14ac:dyDescent="0.2">
      <c r="A42" s="13" t="s">
        <v>44</v>
      </c>
      <c r="B42" s="13" t="s">
        <v>33</v>
      </c>
      <c r="C42" s="4">
        <v>374245.14319167705</v>
      </c>
      <c r="D42" s="5">
        <v>10429924</v>
      </c>
      <c r="E42" s="5">
        <v>24285376</v>
      </c>
      <c r="F42" s="6">
        <v>3161</v>
      </c>
      <c r="G42" s="6">
        <v>811</v>
      </c>
      <c r="H42" s="7">
        <f>G42/D42*E42</f>
        <v>1888.3589119153694</v>
      </c>
      <c r="I42" s="8">
        <f>G42/D42</f>
        <v>7.7757038306319387E-5</v>
      </c>
      <c r="J42" s="8">
        <f>F42/E42</f>
        <v>1.3016063659051439E-4</v>
      </c>
      <c r="K42" s="8">
        <f>(J42-I42)/I42</f>
        <v>0.67394025577149741</v>
      </c>
      <c r="L42" s="9">
        <f>F42-H42</f>
        <v>1272.6410880846306</v>
      </c>
      <c r="M42" s="10">
        <f>C42/L42</f>
        <v>294.06966873506269</v>
      </c>
      <c r="N42" s="12"/>
      <c r="O42" s="14"/>
      <c r="P42" s="14"/>
      <c r="Q42" s="15">
        <v>0.25454897024389456</v>
      </c>
    </row>
    <row r="43" spans="1:17" hidden="1" x14ac:dyDescent="0.2">
      <c r="A43" s="13" t="s">
        <v>44</v>
      </c>
      <c r="B43" s="13" t="s">
        <v>34</v>
      </c>
      <c r="C43" s="4">
        <v>374245.14319167705</v>
      </c>
      <c r="D43" s="5">
        <v>10429924</v>
      </c>
      <c r="E43" s="5">
        <v>24285376</v>
      </c>
      <c r="F43" s="6">
        <v>181</v>
      </c>
      <c r="G43" s="6">
        <v>46</v>
      </c>
      <c r="H43" s="7">
        <f>G43/D43*E43</f>
        <v>107.10790375845501</v>
      </c>
      <c r="I43" s="8">
        <f>G43/D43</f>
        <v>4.4103868829724936E-6</v>
      </c>
      <c r="J43" s="8">
        <f>F43/E43</f>
        <v>7.4530449930031964E-6</v>
      </c>
      <c r="K43" s="8">
        <f>(J43-I43)/I43</f>
        <v>0.68988462707834497</v>
      </c>
      <c r="L43" s="9">
        <f>F43-H43</f>
        <v>73.892096241544991</v>
      </c>
      <c r="M43" s="10">
        <f>C43/L43</f>
        <v>5064.7520131018018</v>
      </c>
      <c r="N43" s="12"/>
      <c r="O43" s="14"/>
      <c r="P43" s="14"/>
      <c r="Q43" s="15">
        <v>0.45989116160681887</v>
      </c>
    </row>
    <row r="44" spans="1:17" hidden="1" x14ac:dyDescent="0.2">
      <c r="A44" s="13" t="s">
        <v>44</v>
      </c>
      <c r="B44" s="13" t="s">
        <v>35</v>
      </c>
      <c r="C44" s="4">
        <v>374245.14319167705</v>
      </c>
      <c r="D44" s="5">
        <v>10429924</v>
      </c>
      <c r="E44" s="5">
        <v>24285376</v>
      </c>
      <c r="F44" s="6">
        <v>1808</v>
      </c>
      <c r="G44" s="6">
        <v>458</v>
      </c>
      <c r="H44" s="7">
        <f>G44/D44*E44</f>
        <v>1066.4221722037476</v>
      </c>
      <c r="I44" s="8">
        <f>G44/D44</f>
        <v>4.3912112878291345E-5</v>
      </c>
      <c r="J44" s="8">
        <f>F44/E44</f>
        <v>7.4448095841711496E-5</v>
      </c>
      <c r="K44" s="8">
        <f>(J44-I44)/I44</f>
        <v>0.69538860605625974</v>
      </c>
      <c r="L44" s="9">
        <f>F44-H44</f>
        <v>741.57782779625245</v>
      </c>
      <c r="M44" s="10">
        <f>C44/L44</f>
        <v>504.66064270532695</v>
      </c>
      <c r="N44" s="12"/>
      <c r="O44" s="14"/>
      <c r="P44" s="14"/>
      <c r="Q44" s="15">
        <v>0.39886682989739586</v>
      </c>
    </row>
    <row r="45" spans="1:17" hidden="1" x14ac:dyDescent="0.2">
      <c r="A45" s="13" t="s">
        <v>44</v>
      </c>
      <c r="B45" s="13" t="s">
        <v>36</v>
      </c>
      <c r="C45" s="4">
        <v>374245.14319167705</v>
      </c>
      <c r="D45" s="5">
        <v>10429924</v>
      </c>
      <c r="E45" s="5">
        <v>24285376</v>
      </c>
      <c r="F45" s="6">
        <v>8948</v>
      </c>
      <c r="G45" s="6">
        <v>2241</v>
      </c>
      <c r="H45" s="7">
        <f>G45/D45*E45</f>
        <v>5218.0176591890795</v>
      </c>
      <c r="I45" s="8">
        <f>G45/D45</f>
        <v>2.1486254358133385E-4</v>
      </c>
      <c r="J45" s="8">
        <f>F45/E45</f>
        <v>3.684521911458155E-4</v>
      </c>
      <c r="K45" s="8">
        <f>(J45-I45)/I45</f>
        <v>0.71482746599032965</v>
      </c>
      <c r="L45" s="9">
        <f>F45-H45</f>
        <v>3729.9823408109205</v>
      </c>
      <c r="M45" s="10">
        <f>C45/L45</f>
        <v>100.33429356942047</v>
      </c>
      <c r="N45" s="12"/>
      <c r="O45" s="14"/>
      <c r="P45" s="14"/>
      <c r="Q45" s="15">
        <v>0.46527339001788848</v>
      </c>
    </row>
    <row r="46" spans="1:17" hidden="1" x14ac:dyDescent="0.2">
      <c r="A46" s="13" t="s">
        <v>44</v>
      </c>
      <c r="B46" s="13" t="s">
        <v>37</v>
      </c>
      <c r="C46" s="4">
        <v>374245.14319167705</v>
      </c>
      <c r="D46" s="5">
        <v>10429924</v>
      </c>
      <c r="E46" s="5">
        <v>24285376</v>
      </c>
      <c r="F46" s="6">
        <v>60</v>
      </c>
      <c r="G46" s="6">
        <v>6</v>
      </c>
      <c r="H46" s="7">
        <f>G46/D46*E46</f>
        <v>13.970596142407175</v>
      </c>
      <c r="I46" s="8">
        <f>G46/D46</f>
        <v>5.7526785430076E-7</v>
      </c>
      <c r="J46" s="8">
        <f>F46/E46</f>
        <v>2.4706226496143195E-6</v>
      </c>
      <c r="K46" s="8">
        <f>(J46-I46)/I46</f>
        <v>3.2947344113593302</v>
      </c>
      <c r="L46" s="9">
        <f>F46-H46</f>
        <v>46.029403857592825</v>
      </c>
      <c r="M46" s="10">
        <f>C46/L46</f>
        <v>8130.5668078936696</v>
      </c>
      <c r="N46" s="12"/>
      <c r="O46" s="14"/>
      <c r="P46" s="14"/>
      <c r="Q46" s="15">
        <v>0.99801979543667041</v>
      </c>
    </row>
    <row r="47" spans="1:17" hidden="1" x14ac:dyDescent="0.2">
      <c r="A47" s="13" t="s">
        <v>44</v>
      </c>
      <c r="B47" s="13" t="s">
        <v>38</v>
      </c>
      <c r="C47" s="4">
        <v>374245.14319167705</v>
      </c>
      <c r="D47" s="5">
        <v>10429924</v>
      </c>
      <c r="E47" s="5">
        <v>24285376</v>
      </c>
      <c r="F47" s="6">
        <v>77</v>
      </c>
      <c r="G47" s="6">
        <v>17</v>
      </c>
      <c r="H47" s="7">
        <f>G47/D47*E47</f>
        <v>39.583355736820323</v>
      </c>
      <c r="I47" s="8">
        <f>G47/D47</f>
        <v>1.6299255871854867E-6</v>
      </c>
      <c r="J47" s="8">
        <f>F47/E47</f>
        <v>3.1706324003383765E-6</v>
      </c>
      <c r="K47" s="8">
        <f>(J47-I47)/I47</f>
        <v>0.94526205690981424</v>
      </c>
      <c r="L47" s="9">
        <f>F47-H47</f>
        <v>37.416644263179677</v>
      </c>
      <c r="M47" s="10">
        <f>C47/L47</f>
        <v>10002.103356980031</v>
      </c>
      <c r="N47" s="12"/>
      <c r="O47" s="14"/>
      <c r="P47" s="14"/>
      <c r="Q47" s="15">
        <v>0.68462158790487626</v>
      </c>
    </row>
    <row r="48" spans="1:17" hidden="1" x14ac:dyDescent="0.2">
      <c r="A48" s="13" t="s">
        <v>44</v>
      </c>
      <c r="B48" s="13" t="s">
        <v>39</v>
      </c>
      <c r="C48" s="4">
        <v>374245.14319167705</v>
      </c>
      <c r="D48" s="5">
        <v>10429924</v>
      </c>
      <c r="E48" s="5">
        <v>24285376</v>
      </c>
      <c r="F48" s="6">
        <v>1257</v>
      </c>
      <c r="G48" s="6">
        <v>346</v>
      </c>
      <c r="H48" s="7">
        <f>G48/D48*E48</f>
        <v>805.63771087881366</v>
      </c>
      <c r="I48" s="8">
        <f>G48/D48</f>
        <v>3.3173779598010492E-5</v>
      </c>
      <c r="J48" s="8">
        <f>F48/E48</f>
        <v>5.1759544509419992E-5</v>
      </c>
      <c r="K48" s="8">
        <f>(J48-I48)/I48</f>
        <v>0.56025466909788391</v>
      </c>
      <c r="L48" s="9">
        <f>F48-H48</f>
        <v>451.36228912118634</v>
      </c>
      <c r="M48" s="10">
        <f>C48/L48</f>
        <v>829.1457931063353</v>
      </c>
      <c r="N48" s="12"/>
      <c r="O48" s="14"/>
      <c r="P48" s="14"/>
      <c r="Q48" s="15">
        <v>6.1153050161864009E-2</v>
      </c>
    </row>
    <row r="49" spans="1:17" hidden="1" x14ac:dyDescent="0.2">
      <c r="A49" s="13" t="s">
        <v>44</v>
      </c>
      <c r="B49" s="13" t="s">
        <v>40</v>
      </c>
      <c r="C49" s="4">
        <v>374245.14319167705</v>
      </c>
      <c r="D49" s="5">
        <v>10429924</v>
      </c>
      <c r="E49" s="5">
        <v>24285376</v>
      </c>
      <c r="F49" s="6">
        <v>3161</v>
      </c>
      <c r="G49" s="6">
        <v>811</v>
      </c>
      <c r="H49" s="7">
        <f>G49/D49*E49</f>
        <v>1888.3589119153694</v>
      </c>
      <c r="I49" s="8">
        <f>G49/D49</f>
        <v>7.7757038306319387E-5</v>
      </c>
      <c r="J49" s="8">
        <f>F49/E49</f>
        <v>1.3016063659051439E-4</v>
      </c>
      <c r="K49" s="8">
        <f>(J49-I49)/I49</f>
        <v>0.67394025577149741</v>
      </c>
      <c r="L49" s="9">
        <f>F49-H49</f>
        <v>1272.6410880846306</v>
      </c>
      <c r="M49" s="10">
        <f>C49/L49</f>
        <v>294.06966873506269</v>
      </c>
      <c r="N49" s="12"/>
      <c r="O49" s="14"/>
      <c r="P49" s="14"/>
      <c r="Q49" s="15">
        <v>0.25454897024389456</v>
      </c>
    </row>
    <row r="50" spans="1:17" hidden="1" x14ac:dyDescent="0.2">
      <c r="A50" s="13" t="s">
        <v>44</v>
      </c>
      <c r="B50" s="13" t="s">
        <v>41</v>
      </c>
      <c r="C50" s="4">
        <v>374245.14319167705</v>
      </c>
      <c r="D50" s="5">
        <v>10429924</v>
      </c>
      <c r="E50" s="5">
        <v>24285376</v>
      </c>
      <c r="F50" s="6">
        <v>3243</v>
      </c>
      <c r="G50" s="6">
        <v>746</v>
      </c>
      <c r="H50" s="7">
        <f>G50/D50*E50</f>
        <v>1737.0107870392919</v>
      </c>
      <c r="I50" s="8">
        <f>G50/D50</f>
        <v>7.152496988472783E-5</v>
      </c>
      <c r="J50" s="8">
        <f>F50/E50</f>
        <v>1.3353715421165395E-4</v>
      </c>
      <c r="K50" s="8">
        <f>(J50-I50)/I50</f>
        <v>0.86700049544749402</v>
      </c>
      <c r="L50" s="9">
        <f>F50-H50</f>
        <v>1505.9892129607081</v>
      </c>
      <c r="M50" s="10">
        <f>C50/L50</f>
        <v>248.50453108885665</v>
      </c>
      <c r="N50" s="12"/>
      <c r="O50" s="14"/>
      <c r="P50" s="14"/>
      <c r="Q50" s="15">
        <v>0.98192453410765024</v>
      </c>
    </row>
    <row r="51" spans="1:17" hidden="1" x14ac:dyDescent="0.2">
      <c r="A51" s="13" t="s">
        <v>44</v>
      </c>
      <c r="B51" s="13" t="s">
        <v>42</v>
      </c>
      <c r="C51" s="4">
        <v>374245.14319167705</v>
      </c>
      <c r="D51" s="5">
        <v>10429924</v>
      </c>
      <c r="E51" s="5">
        <v>24285376</v>
      </c>
      <c r="F51" s="6">
        <v>10307</v>
      </c>
      <c r="G51" s="6">
        <v>2624</v>
      </c>
      <c r="H51" s="7">
        <f>G51/D51*E51</f>
        <v>6109.8073796127383</v>
      </c>
      <c r="I51" s="8">
        <f>G51/D51</f>
        <v>2.5158380828086573E-4</v>
      </c>
      <c r="J51" s="8">
        <f>F51/E51</f>
        <v>4.2441179415957981E-4</v>
      </c>
      <c r="K51" s="8">
        <f>(J51-I51)/I51</f>
        <v>0.68695989244971833</v>
      </c>
      <c r="L51" s="9">
        <f>F51-H51</f>
        <v>4197.1926203872617</v>
      </c>
      <c r="M51" s="10">
        <f>C51/L51</f>
        <v>89.165586867239526</v>
      </c>
      <c r="N51" s="12"/>
      <c r="O51" s="14"/>
      <c r="P51" s="14"/>
      <c r="Q51" s="15">
        <v>0.20074027791263949</v>
      </c>
    </row>
    <row r="52" spans="1:17" hidden="1" x14ac:dyDescent="0.2">
      <c r="A52" s="13" t="s">
        <v>45</v>
      </c>
      <c r="B52" s="13" t="s">
        <v>17</v>
      </c>
      <c r="C52" s="4">
        <v>374324.11022995453</v>
      </c>
      <c r="D52" s="5">
        <v>15028309</v>
      </c>
      <c r="E52" s="5">
        <v>33736778</v>
      </c>
      <c r="F52" s="6">
        <v>98978</v>
      </c>
      <c r="G52" s="6">
        <v>25062</v>
      </c>
      <c r="H52" s="7">
        <f>G52/D52*E52</f>
        <v>56261.228740771832</v>
      </c>
      <c r="I52" s="8">
        <f>G52/D52</f>
        <v>1.6676526946577954E-3</v>
      </c>
      <c r="J52" s="8">
        <f>F52/E52</f>
        <v>2.9338308477472271E-3</v>
      </c>
      <c r="K52" s="8">
        <f>(J52-I52)/I52</f>
        <v>0.75925770224552247</v>
      </c>
      <c r="L52" s="9">
        <f>F52-H52</f>
        <v>42716.771259228168</v>
      </c>
      <c r="M52" s="10">
        <f>C52/L52</f>
        <v>8.7629307926471327</v>
      </c>
      <c r="N52" s="12"/>
      <c r="O52" s="14"/>
      <c r="P52" s="14"/>
      <c r="Q52" s="15">
        <v>3.649993106744831E-2</v>
      </c>
    </row>
    <row r="53" spans="1:17" hidden="1" x14ac:dyDescent="0.2">
      <c r="A53" s="13" t="s">
        <v>45</v>
      </c>
      <c r="B53" s="13" t="s">
        <v>18</v>
      </c>
      <c r="C53" s="4">
        <v>374324.11022995453</v>
      </c>
      <c r="D53" s="5">
        <v>15028309</v>
      </c>
      <c r="E53" s="5">
        <v>33736778</v>
      </c>
      <c r="F53" s="6">
        <v>1</v>
      </c>
      <c r="G53" s="6">
        <v>0</v>
      </c>
      <c r="H53" s="7">
        <f>G53/D53*E53</f>
        <v>0</v>
      </c>
      <c r="I53" s="8">
        <f>G53/D53</f>
        <v>0</v>
      </c>
      <c r="J53" s="8">
        <f>F53/E53</f>
        <v>2.9641241970409858E-8</v>
      </c>
      <c r="K53" s="8" t="e">
        <f>(J53-I53)/I53</f>
        <v>#DIV/0!</v>
      </c>
      <c r="L53" s="9">
        <f>F53-H53</f>
        <v>1</v>
      </c>
      <c r="M53" s="10">
        <f>C53/L53</f>
        <v>374324.11022995453</v>
      </c>
      <c r="N53" s="12"/>
      <c r="O53" s="14"/>
      <c r="P53" s="14"/>
      <c r="Q53" s="15"/>
    </row>
    <row r="54" spans="1:17" hidden="1" x14ac:dyDescent="0.2">
      <c r="A54" s="13" t="s">
        <v>45</v>
      </c>
      <c r="B54" s="13" t="s">
        <v>19</v>
      </c>
      <c r="C54" s="4">
        <v>374324.11022995453</v>
      </c>
      <c r="D54" s="5">
        <v>15028309</v>
      </c>
      <c r="E54" s="5">
        <v>33736778</v>
      </c>
      <c r="F54" s="6">
        <v>9630</v>
      </c>
      <c r="G54" s="6">
        <v>2496</v>
      </c>
      <c r="H54" s="7">
        <f>G54/D54*E54</f>
        <v>5603.2250792820405</v>
      </c>
      <c r="I54" s="8">
        <f>G54/D54</f>
        <v>1.6608655038966792E-4</v>
      </c>
      <c r="J54" s="8">
        <f>F54/E54</f>
        <v>2.8544516017504695E-4</v>
      </c>
      <c r="K54" s="8">
        <f>(J54-I54)/I54</f>
        <v>0.71865307278249191</v>
      </c>
      <c r="L54" s="9">
        <f>F54-H54</f>
        <v>4026.7749207179595</v>
      </c>
      <c r="M54" s="10">
        <f>C54/L54</f>
        <v>92.958786522692932</v>
      </c>
      <c r="N54" s="12"/>
      <c r="O54" s="14"/>
      <c r="P54" s="14"/>
      <c r="Q54" s="15">
        <v>5.606492796153506E-2</v>
      </c>
    </row>
    <row r="55" spans="1:17" hidden="1" x14ac:dyDescent="0.2">
      <c r="A55" s="13" t="s">
        <v>45</v>
      </c>
      <c r="B55" s="13" t="s">
        <v>20</v>
      </c>
      <c r="C55" s="4">
        <v>374324.11022995453</v>
      </c>
      <c r="D55" s="5">
        <v>15028309</v>
      </c>
      <c r="E55" s="5">
        <v>33736778</v>
      </c>
      <c r="F55" s="6">
        <v>1</v>
      </c>
      <c r="G55" s="6">
        <v>0</v>
      </c>
      <c r="H55" s="7">
        <f>G55/D55*E55</f>
        <v>0</v>
      </c>
      <c r="I55" s="8">
        <f>G55/D55</f>
        <v>0</v>
      </c>
      <c r="J55" s="8">
        <f>F55/E55</f>
        <v>2.9641241970409858E-8</v>
      </c>
      <c r="K55" s="8" t="e">
        <f>(J55-I55)/I55</f>
        <v>#DIV/0!</v>
      </c>
      <c r="L55" s="9">
        <f>F55-H55</f>
        <v>1</v>
      </c>
      <c r="M55" s="10">
        <f>C55/L55</f>
        <v>374324.11022995453</v>
      </c>
      <c r="N55" s="12"/>
      <c r="O55" s="14"/>
      <c r="P55" s="14"/>
      <c r="Q55" s="15"/>
    </row>
    <row r="56" spans="1:17" hidden="1" x14ac:dyDescent="0.2">
      <c r="A56" s="13" t="s">
        <v>45</v>
      </c>
      <c r="B56" s="13" t="s">
        <v>21</v>
      </c>
      <c r="C56" s="4">
        <v>374324.11022995453</v>
      </c>
      <c r="D56" s="5">
        <v>15028309</v>
      </c>
      <c r="E56" s="5">
        <v>33736778</v>
      </c>
      <c r="F56" s="6">
        <v>29015</v>
      </c>
      <c r="G56" s="6">
        <v>7384</v>
      </c>
      <c r="H56" s="7">
        <f>G56/D56*E56</f>
        <v>16576.207526209371</v>
      </c>
      <c r="I56" s="8">
        <f>G56/D56</f>
        <v>4.91339378236101E-4</v>
      </c>
      <c r="J56" s="8">
        <f>F56/E56</f>
        <v>8.6004063577144207E-4</v>
      </c>
      <c r="K56" s="8">
        <f>(J56-I56)/I56</f>
        <v>0.75040038284529842</v>
      </c>
      <c r="L56" s="9">
        <f>F56-H56</f>
        <v>12438.792473790629</v>
      </c>
      <c r="M56" s="10">
        <f>C56/L56</f>
        <v>30.093283654235776</v>
      </c>
      <c r="N56" s="12"/>
      <c r="O56" s="14"/>
      <c r="P56" s="14"/>
      <c r="Q56" s="15">
        <v>8.7569841757028977E-2</v>
      </c>
    </row>
    <row r="57" spans="1:17" hidden="1" x14ac:dyDescent="0.2">
      <c r="A57" s="13" t="s">
        <v>45</v>
      </c>
      <c r="B57" s="13" t="s">
        <v>22</v>
      </c>
      <c r="C57" s="4">
        <v>374324.11022995453</v>
      </c>
      <c r="D57" s="5">
        <v>15028309</v>
      </c>
      <c r="E57" s="5">
        <v>33736778</v>
      </c>
      <c r="F57" s="6">
        <v>1</v>
      </c>
      <c r="G57" s="6">
        <v>0</v>
      </c>
      <c r="H57" s="7">
        <f>G57/D57*E57</f>
        <v>0</v>
      </c>
      <c r="I57" s="8">
        <f>G57/D57</f>
        <v>0</v>
      </c>
      <c r="J57" s="8">
        <f>F57/E57</f>
        <v>2.9641241970409858E-8</v>
      </c>
      <c r="K57" s="8" t="e">
        <f>(J57-I57)/I57</f>
        <v>#DIV/0!</v>
      </c>
      <c r="L57" s="9">
        <f>F57-H57</f>
        <v>1</v>
      </c>
      <c r="M57" s="10">
        <f>C57/L57</f>
        <v>374324.11022995453</v>
      </c>
      <c r="N57" s="12"/>
      <c r="O57" s="14"/>
      <c r="P57" s="14"/>
      <c r="Q57" s="15"/>
    </row>
    <row r="58" spans="1:17" x14ac:dyDescent="0.2">
      <c r="A58" s="13" t="s">
        <v>43</v>
      </c>
      <c r="B58" s="13" t="s">
        <v>32</v>
      </c>
      <c r="C58" s="19">
        <v>374274.36483220127</v>
      </c>
      <c r="D58" s="20">
        <v>6218481</v>
      </c>
      <c r="E58" s="20">
        <v>15299015</v>
      </c>
      <c r="F58" s="6">
        <v>9710</v>
      </c>
      <c r="G58" s="6">
        <v>2533</v>
      </c>
      <c r="H58" s="7">
        <f>G58/D58*E58</f>
        <v>6231.8120767756627</v>
      </c>
      <c r="I58" s="8">
        <f>G58/D58</f>
        <v>4.0733420267747059E-4</v>
      </c>
      <c r="J58" s="8">
        <f>F58/E58</f>
        <v>6.3468138308250561E-4</v>
      </c>
      <c r="K58" s="8">
        <f>(J58-I58)/I58</f>
        <v>0.55813427625435552</v>
      </c>
      <c r="L58" s="9">
        <f>F58-H58</f>
        <v>3478.1879232243373</v>
      </c>
      <c r="M58" s="10">
        <f>C58/L58</f>
        <v>107.60613661301049</v>
      </c>
      <c r="N58" s="12"/>
      <c r="O58" s="14"/>
      <c r="P58" s="14"/>
      <c r="Q58" s="15">
        <v>2.9225538018262665E-2</v>
      </c>
    </row>
    <row r="59" spans="1:17" hidden="1" x14ac:dyDescent="0.2">
      <c r="A59" s="13" t="s">
        <v>45</v>
      </c>
      <c r="B59" s="13" t="s">
        <v>24</v>
      </c>
      <c r="C59" s="4">
        <v>374324.11022995453</v>
      </c>
      <c r="D59" s="5">
        <v>15028309</v>
      </c>
      <c r="E59" s="5">
        <v>33736778</v>
      </c>
      <c r="F59" s="6">
        <v>36</v>
      </c>
      <c r="G59" s="6">
        <v>9</v>
      </c>
      <c r="H59" s="7">
        <f>G59/D59*E59</f>
        <v>20.203936583949663</v>
      </c>
      <c r="I59" s="8">
        <f>G59/D59</f>
        <v>5.9886977303966797E-7</v>
      </c>
      <c r="J59" s="8">
        <f>F59/E59</f>
        <v>1.067084710934755E-6</v>
      </c>
      <c r="K59" s="8">
        <f>(J59-I59)/I59</f>
        <v>0.78183097390035305</v>
      </c>
      <c r="L59" s="9">
        <f>F59-H59</f>
        <v>15.796063416050337</v>
      </c>
      <c r="M59" s="10">
        <f>C59/L59</f>
        <v>23697.303585753194</v>
      </c>
      <c r="N59" s="12"/>
      <c r="O59" s="14"/>
      <c r="P59" s="14"/>
      <c r="Q59" s="15">
        <v>0.50003673816762639</v>
      </c>
    </row>
    <row r="60" spans="1:17" x14ac:dyDescent="0.2">
      <c r="A60" s="13" t="s">
        <v>44</v>
      </c>
      <c r="B60" s="13" t="s">
        <v>32</v>
      </c>
      <c r="C60" s="19">
        <v>374245.14319167705</v>
      </c>
      <c r="D60" s="20">
        <v>10429924</v>
      </c>
      <c r="E60" s="20">
        <v>24285376</v>
      </c>
      <c r="F60" s="6">
        <v>12323</v>
      </c>
      <c r="G60" s="6">
        <v>3112</v>
      </c>
      <c r="H60" s="7">
        <f>G60/D60*E60</f>
        <v>7246.0825325285205</v>
      </c>
      <c r="I60" s="8">
        <f>G60/D60</f>
        <v>2.9837226043066085E-4</v>
      </c>
      <c r="J60" s="8">
        <f>F60/E60</f>
        <v>5.07424715186621E-4</v>
      </c>
      <c r="K60" s="8">
        <f>(J60-I60)/I60</f>
        <v>0.70064306398396625</v>
      </c>
      <c r="L60" s="9">
        <f>F60-H60</f>
        <v>5076.9174674714795</v>
      </c>
      <c r="M60" s="10">
        <f>C60/L60</f>
        <v>73.715033893995326</v>
      </c>
      <c r="N60" s="12"/>
      <c r="O60" s="14"/>
      <c r="P60" s="14"/>
      <c r="Q60" s="15">
        <v>0.30321875075337601</v>
      </c>
    </row>
    <row r="61" spans="1:17" hidden="1" x14ac:dyDescent="0.2">
      <c r="A61" s="13" t="s">
        <v>45</v>
      </c>
      <c r="B61" s="13" t="s">
        <v>26</v>
      </c>
      <c r="C61" s="4">
        <v>374324.11022995453</v>
      </c>
      <c r="D61" s="5">
        <v>15028309</v>
      </c>
      <c r="E61" s="5">
        <v>33736778</v>
      </c>
      <c r="F61" s="6">
        <v>7183</v>
      </c>
      <c r="G61" s="6">
        <v>1798</v>
      </c>
      <c r="H61" s="7">
        <f>G61/D61*E61</f>
        <v>4036.2975531046109</v>
      </c>
      <c r="I61" s="8">
        <f>G61/D61</f>
        <v>1.1964087243614701E-4</v>
      </c>
      <c r="J61" s="8">
        <f>F61/E61</f>
        <v>2.1291304107345403E-4</v>
      </c>
      <c r="K61" s="8">
        <f>(J61-I61)/I61</f>
        <v>0.77960120766493823</v>
      </c>
      <c r="L61" s="9">
        <f>F61-H61</f>
        <v>3146.7024468953891</v>
      </c>
      <c r="M61" s="10">
        <f>C61/L61</f>
        <v>118.95758068872115</v>
      </c>
      <c r="N61" s="12"/>
      <c r="O61" s="14"/>
      <c r="P61" s="14"/>
      <c r="Q61" s="15">
        <v>0.4815878405491405</v>
      </c>
    </row>
    <row r="62" spans="1:17" hidden="1" x14ac:dyDescent="0.2">
      <c r="A62" s="13" t="s">
        <v>45</v>
      </c>
      <c r="B62" s="13" t="s">
        <v>27</v>
      </c>
      <c r="C62" s="4">
        <v>374324.11022995453</v>
      </c>
      <c r="D62" s="5">
        <v>15028309</v>
      </c>
      <c r="E62" s="5">
        <v>33736778</v>
      </c>
      <c r="F62" s="6">
        <v>408</v>
      </c>
      <c r="G62" s="6">
        <v>116</v>
      </c>
      <c r="H62" s="7">
        <f>G62/D62*E62</f>
        <v>260.40629374868456</v>
      </c>
      <c r="I62" s="8">
        <f>G62/D62</f>
        <v>7.7187659636223879E-6</v>
      </c>
      <c r="J62" s="8">
        <f>F62/E62</f>
        <v>1.2093626723927223E-5</v>
      </c>
      <c r="K62" s="8">
        <f>(J62-I62)/I62</f>
        <v>0.56678240808479308</v>
      </c>
      <c r="L62" s="9">
        <f>F62-H62</f>
        <v>147.59370625131544</v>
      </c>
      <c r="M62" s="10">
        <f>C62/L62</f>
        <v>2536.179351662689</v>
      </c>
      <c r="N62" s="12"/>
      <c r="O62" s="14"/>
      <c r="P62" s="14"/>
      <c r="Q62" s="15">
        <v>0.11967145992827899</v>
      </c>
    </row>
    <row r="63" spans="1:17" hidden="1" x14ac:dyDescent="0.2">
      <c r="A63" s="13" t="s">
        <v>45</v>
      </c>
      <c r="B63" s="13" t="s">
        <v>28</v>
      </c>
      <c r="C63" s="4">
        <v>374324.11022995453</v>
      </c>
      <c r="D63" s="5">
        <v>15028309</v>
      </c>
      <c r="E63" s="5">
        <v>33736778</v>
      </c>
      <c r="F63" s="6">
        <v>1</v>
      </c>
      <c r="G63" s="6">
        <v>0</v>
      </c>
      <c r="H63" s="7">
        <f>G63/D63*E63</f>
        <v>0</v>
      </c>
      <c r="I63" s="8">
        <f>G63/D63</f>
        <v>0</v>
      </c>
      <c r="J63" s="8">
        <f>F63/E63</f>
        <v>2.9641241970409858E-8</v>
      </c>
      <c r="K63" s="8" t="e">
        <f>(J63-I63)/I63</f>
        <v>#DIV/0!</v>
      </c>
      <c r="L63" s="9">
        <f>F63-H63</f>
        <v>1</v>
      </c>
      <c r="M63" s="10">
        <f>C63/L63</f>
        <v>374324.11022995453</v>
      </c>
      <c r="N63" s="12"/>
      <c r="O63" s="14"/>
      <c r="P63" s="14"/>
      <c r="Q63" s="15"/>
    </row>
    <row r="64" spans="1:17" hidden="1" x14ac:dyDescent="0.2">
      <c r="A64" s="13" t="s">
        <v>45</v>
      </c>
      <c r="B64" s="13" t="s">
        <v>29</v>
      </c>
      <c r="C64" s="4">
        <v>374324.11022995453</v>
      </c>
      <c r="D64" s="5">
        <v>15028309</v>
      </c>
      <c r="E64" s="5">
        <v>33736778</v>
      </c>
      <c r="F64" s="6">
        <v>1</v>
      </c>
      <c r="G64" s="6">
        <v>0</v>
      </c>
      <c r="H64" s="7">
        <f>G64/D64*E64</f>
        <v>0</v>
      </c>
      <c r="I64" s="8">
        <f>G64/D64</f>
        <v>0</v>
      </c>
      <c r="J64" s="8">
        <f>F64/E64</f>
        <v>2.9641241970409858E-8</v>
      </c>
      <c r="K64" s="8" t="e">
        <f>(J64-I64)/I64</f>
        <v>#DIV/0!</v>
      </c>
      <c r="L64" s="9">
        <f>F64-H64</f>
        <v>1</v>
      </c>
      <c r="M64" s="10">
        <f>C64/L64</f>
        <v>374324.11022995453</v>
      </c>
      <c r="N64" s="12"/>
      <c r="O64" s="14"/>
      <c r="P64" s="14"/>
      <c r="Q64" s="15"/>
    </row>
    <row r="65" spans="1:17" hidden="1" x14ac:dyDescent="0.2">
      <c r="A65" s="13" t="s">
        <v>45</v>
      </c>
      <c r="B65" s="13" t="s">
        <v>30</v>
      </c>
      <c r="C65" s="4">
        <v>374324.11022995453</v>
      </c>
      <c r="D65" s="5">
        <v>15028309</v>
      </c>
      <c r="E65" s="5">
        <v>33736778</v>
      </c>
      <c r="F65" s="6">
        <v>34</v>
      </c>
      <c r="G65" s="6">
        <v>9</v>
      </c>
      <c r="H65" s="7">
        <f>G65/D65*E65</f>
        <v>20.203936583949663</v>
      </c>
      <c r="I65" s="8">
        <f>G65/D65</f>
        <v>5.9886977303966797E-7</v>
      </c>
      <c r="J65" s="8">
        <f>F65/E65</f>
        <v>1.0078022269939353E-6</v>
      </c>
      <c r="K65" s="8">
        <f>(J65-I65)/I65</f>
        <v>0.68284036423922234</v>
      </c>
      <c r="L65" s="9">
        <f>F65-H65</f>
        <v>13.796063416050337</v>
      </c>
      <c r="M65" s="10">
        <f>C65/L65</f>
        <v>27132.675382925969</v>
      </c>
      <c r="N65" s="12"/>
      <c r="O65" s="14"/>
      <c r="P65" s="14"/>
      <c r="Q65" s="15">
        <v>0.44045412723769983</v>
      </c>
    </row>
    <row r="66" spans="1:17" hidden="1" x14ac:dyDescent="0.2">
      <c r="A66" s="13" t="s">
        <v>45</v>
      </c>
      <c r="B66" s="13" t="s">
        <v>31</v>
      </c>
      <c r="C66" s="4">
        <v>374324.11022995453</v>
      </c>
      <c r="D66" s="5">
        <v>15028309</v>
      </c>
      <c r="E66" s="5">
        <v>33736778</v>
      </c>
      <c r="F66" s="6">
        <v>31327</v>
      </c>
      <c r="G66" s="6">
        <v>7975</v>
      </c>
      <c r="H66" s="7">
        <f>G66/D66*E66</f>
        <v>17902.932695222062</v>
      </c>
      <c r="I66" s="8">
        <f>G66/D66</f>
        <v>5.3066515999903913E-4</v>
      </c>
      <c r="J66" s="8">
        <f>F66/E66</f>
        <v>9.2857118720702971E-4</v>
      </c>
      <c r="K66" s="8">
        <f>(J66-I66)/I66</f>
        <v>0.74982504449455678</v>
      </c>
      <c r="L66" s="9">
        <f>F66-H66</f>
        <v>13424.067304777938</v>
      </c>
      <c r="M66" s="10">
        <f>C66/L66</f>
        <v>27.884552552617482</v>
      </c>
      <c r="N66" s="12"/>
      <c r="O66" s="14"/>
      <c r="P66" s="14"/>
      <c r="Q66" s="15">
        <v>7.5642083082083422E-2</v>
      </c>
    </row>
    <row r="67" spans="1:17" hidden="1" x14ac:dyDescent="0.2">
      <c r="A67" s="13" t="s">
        <v>45</v>
      </c>
      <c r="B67" s="13" t="s">
        <v>46</v>
      </c>
      <c r="C67" s="4">
        <v>374324.11022995453</v>
      </c>
      <c r="D67" s="5">
        <v>15028309</v>
      </c>
      <c r="E67" s="5">
        <v>33736778</v>
      </c>
      <c r="F67" s="16">
        <v>14591</v>
      </c>
      <c r="G67" s="16">
        <v>3695</v>
      </c>
      <c r="H67" s="7">
        <f>G67/D67*E67</f>
        <v>8294.8384086326678</v>
      </c>
      <c r="I67" s="8">
        <f>G67/D67</f>
        <v>2.4586931237573039E-4</v>
      </c>
      <c r="J67" s="8">
        <f>F67/E67</f>
        <v>4.3249536159025028E-4</v>
      </c>
      <c r="K67" s="8">
        <f>(J67-I67)/I67</f>
        <v>0.75904571990392744</v>
      </c>
      <c r="L67" s="9">
        <f>F67-H67</f>
        <v>6296.1615913673322</v>
      </c>
      <c r="M67" s="10">
        <f>C67/L67</f>
        <v>59.452748281300522</v>
      </c>
      <c r="Q67" s="15">
        <v>0.79394377968520191</v>
      </c>
    </row>
    <row r="68" spans="1:17" x14ac:dyDescent="0.2">
      <c r="A68" s="13" t="s">
        <v>45</v>
      </c>
      <c r="B68" s="13" t="s">
        <v>32</v>
      </c>
      <c r="C68" s="19">
        <v>374324.11022995453</v>
      </c>
      <c r="D68" s="20">
        <v>15028309</v>
      </c>
      <c r="E68" s="20">
        <v>33736778</v>
      </c>
      <c r="F68" s="6">
        <v>14940</v>
      </c>
      <c r="G68" s="6">
        <v>3804</v>
      </c>
      <c r="H68" s="7">
        <f>G68/D68*E68</f>
        <v>8539.5305294827249</v>
      </c>
      <c r="I68" s="8">
        <f>G68/D68</f>
        <v>2.5312229073809966E-4</v>
      </c>
      <c r="J68" s="8">
        <f>F68/E68</f>
        <v>4.4284015503792332E-4</v>
      </c>
      <c r="K68" s="8">
        <f>(J68-I68)/I68</f>
        <v>0.74951069598260223</v>
      </c>
      <c r="L68" s="9">
        <f>F68-H68</f>
        <v>6400.4694705172751</v>
      </c>
      <c r="M68" s="10">
        <f>C68/L68</f>
        <v>58.483852154004929</v>
      </c>
      <c r="N68" s="12"/>
      <c r="O68" s="14"/>
      <c r="P68" s="14"/>
      <c r="Q68" s="15">
        <v>0.15848324310442419</v>
      </c>
    </row>
    <row r="69" spans="1:17" hidden="1" x14ac:dyDescent="0.2">
      <c r="A69" s="13" t="s">
        <v>45</v>
      </c>
      <c r="B69" s="13" t="s">
        <v>33</v>
      </c>
      <c r="C69" s="4">
        <v>374324.11022995453</v>
      </c>
      <c r="D69" s="5">
        <v>15028309</v>
      </c>
      <c r="E69" s="5">
        <v>33736778</v>
      </c>
      <c r="F69" s="6">
        <v>3828</v>
      </c>
      <c r="G69" s="6">
        <v>929</v>
      </c>
      <c r="H69" s="7">
        <f t="shared" ref="H66:H97" si="6">G69/D69*E69</f>
        <v>2085.4952318321375</v>
      </c>
      <c r="I69" s="8">
        <f t="shared" ref="I66:I78" si="7">G69/D69</f>
        <v>6.1816668794872394E-5</v>
      </c>
      <c r="J69" s="8">
        <f t="shared" ref="J66:J78" si="8">F69/E69</f>
        <v>1.1346667426272894E-4</v>
      </c>
      <c r="K69" s="8">
        <f t="shared" ref="K66:K97" si="9">(J69-I69)/I69</f>
        <v>0.83553524437313009</v>
      </c>
      <c r="L69" s="9">
        <f t="shared" ref="L66:L78" si="10">F69-H69</f>
        <v>1742.5047681678625</v>
      </c>
      <c r="M69" s="10">
        <f t="shared" ref="M66:M97" si="11">C69/L69</f>
        <v>214.81956151175041</v>
      </c>
      <c r="N69" s="12"/>
      <c r="O69" s="14"/>
      <c r="P69" s="14"/>
      <c r="Q69" s="15">
        <v>0.79394377968520191</v>
      </c>
    </row>
    <row r="70" spans="1:17" hidden="1" x14ac:dyDescent="0.2">
      <c r="A70" s="13" t="s">
        <v>45</v>
      </c>
      <c r="B70" s="13" t="s">
        <v>34</v>
      </c>
      <c r="C70" s="4">
        <v>374324.11022995453</v>
      </c>
      <c r="D70" s="5">
        <v>15028309</v>
      </c>
      <c r="E70" s="5">
        <v>33736778</v>
      </c>
      <c r="F70" s="6">
        <v>257</v>
      </c>
      <c r="G70" s="6">
        <v>65</v>
      </c>
      <c r="H70" s="7">
        <f t="shared" si="6"/>
        <v>145.91731977296979</v>
      </c>
      <c r="I70" s="8">
        <f t="shared" si="7"/>
        <v>4.3251705830642689E-6</v>
      </c>
      <c r="J70" s="8">
        <f t="shared" si="8"/>
        <v>7.6177991863953335E-6</v>
      </c>
      <c r="K70" s="8">
        <f t="shared" si="9"/>
        <v>0.76127138573996411</v>
      </c>
      <c r="L70" s="9">
        <f t="shared" si="10"/>
        <v>111.08268022703021</v>
      </c>
      <c r="M70" s="10">
        <f t="shared" si="11"/>
        <v>3369.7792442972464</v>
      </c>
      <c r="N70" s="12"/>
      <c r="O70" s="14"/>
      <c r="P70" s="14"/>
      <c r="Q70" s="15">
        <v>0.4669035424631176</v>
      </c>
    </row>
    <row r="71" spans="1:17" hidden="1" x14ac:dyDescent="0.2">
      <c r="A71" s="13" t="s">
        <v>45</v>
      </c>
      <c r="B71" s="13" t="s">
        <v>35</v>
      </c>
      <c r="C71" s="4">
        <v>374324.11022995453</v>
      </c>
      <c r="D71" s="5">
        <v>15028309</v>
      </c>
      <c r="E71" s="5">
        <v>33736778</v>
      </c>
      <c r="F71" s="6">
        <v>2188</v>
      </c>
      <c r="G71" s="6">
        <v>552</v>
      </c>
      <c r="H71" s="7">
        <f t="shared" si="6"/>
        <v>1239.1747771489127</v>
      </c>
      <c r="I71" s="8">
        <f t="shared" si="7"/>
        <v>3.6730679413099635E-5</v>
      </c>
      <c r="J71" s="8">
        <f t="shared" si="8"/>
        <v>6.4855037431256772E-5</v>
      </c>
      <c r="K71" s="8">
        <f t="shared" si="9"/>
        <v>0.76569120058603823</v>
      </c>
      <c r="L71" s="9">
        <f t="shared" si="10"/>
        <v>948.82522285108735</v>
      </c>
      <c r="M71" s="10">
        <f t="shared" si="11"/>
        <v>394.51323722736083</v>
      </c>
      <c r="N71" s="12"/>
      <c r="O71" s="14"/>
      <c r="P71" s="14"/>
      <c r="Q71" s="15">
        <v>0.42473044274564964</v>
      </c>
    </row>
    <row r="72" spans="1:17" hidden="1" x14ac:dyDescent="0.2">
      <c r="A72" s="13" t="s">
        <v>45</v>
      </c>
      <c r="B72" s="13" t="s">
        <v>36</v>
      </c>
      <c r="C72" s="4">
        <v>374324.11022995453</v>
      </c>
      <c r="D72" s="5">
        <v>15028309</v>
      </c>
      <c r="E72" s="5">
        <v>33736778</v>
      </c>
      <c r="F72" s="6">
        <v>10763</v>
      </c>
      <c r="G72" s="6">
        <v>2766</v>
      </c>
      <c r="H72" s="7">
        <f t="shared" si="6"/>
        <v>6209.3431768005303</v>
      </c>
      <c r="I72" s="8">
        <f t="shared" si="7"/>
        <v>1.8405264358085796E-4</v>
      </c>
      <c r="J72" s="8">
        <f t="shared" si="8"/>
        <v>3.190286873275213E-4</v>
      </c>
      <c r="K72" s="8">
        <f t="shared" si="9"/>
        <v>0.73335563739059084</v>
      </c>
      <c r="L72" s="9">
        <f t="shared" si="10"/>
        <v>4553.6568231994697</v>
      </c>
      <c r="M72" s="10">
        <f t="shared" si="11"/>
        <v>82.202968902463013</v>
      </c>
      <c r="N72" s="12"/>
      <c r="O72" s="14"/>
      <c r="P72" s="14"/>
      <c r="Q72" s="15">
        <v>9.9959239525464483E-2</v>
      </c>
    </row>
    <row r="73" spans="1:17" hidden="1" x14ac:dyDescent="0.2">
      <c r="A73" s="13" t="s">
        <v>45</v>
      </c>
      <c r="B73" s="13" t="s">
        <v>37</v>
      </c>
      <c r="C73" s="4">
        <v>374324.11022995453</v>
      </c>
      <c r="D73" s="5">
        <v>15028309</v>
      </c>
      <c r="E73" s="5">
        <v>33736778</v>
      </c>
      <c r="F73" s="6">
        <v>54</v>
      </c>
      <c r="G73" s="6">
        <v>13</v>
      </c>
      <c r="H73" s="7">
        <f t="shared" si="6"/>
        <v>29.183463954593961</v>
      </c>
      <c r="I73" s="8">
        <f t="shared" si="7"/>
        <v>8.6503411661285381E-7</v>
      </c>
      <c r="J73" s="8">
        <f t="shared" si="8"/>
        <v>1.6006270664021324E-6</v>
      </c>
      <c r="K73" s="8">
        <f t="shared" si="9"/>
        <v>0.85036293443498179</v>
      </c>
      <c r="L73" s="9">
        <f t="shared" si="10"/>
        <v>24.816536045406039</v>
      </c>
      <c r="M73" s="10">
        <f t="shared" si="11"/>
        <v>15083.656701526168</v>
      </c>
      <c r="N73" s="12"/>
      <c r="O73" s="14"/>
      <c r="P73" s="14"/>
      <c r="Q73" s="15">
        <v>0.54921333629563207</v>
      </c>
    </row>
    <row r="74" spans="1:17" hidden="1" x14ac:dyDescent="0.2">
      <c r="A74" s="13" t="s">
        <v>45</v>
      </c>
      <c r="B74" s="13" t="s">
        <v>38</v>
      </c>
      <c r="C74" s="4">
        <v>374324.11022995453</v>
      </c>
      <c r="D74" s="5">
        <v>15028309</v>
      </c>
      <c r="E74" s="5">
        <v>33736778</v>
      </c>
      <c r="F74" s="6">
        <v>96</v>
      </c>
      <c r="G74" s="6">
        <v>20</v>
      </c>
      <c r="H74" s="7">
        <f t="shared" si="6"/>
        <v>44.897636853221478</v>
      </c>
      <c r="I74" s="8">
        <f t="shared" si="7"/>
        <v>1.3308217178659289E-6</v>
      </c>
      <c r="J74" s="8">
        <f t="shared" si="8"/>
        <v>2.8455592291593465E-6</v>
      </c>
      <c r="K74" s="8">
        <f t="shared" si="9"/>
        <v>1.1381971686804235</v>
      </c>
      <c r="L74" s="9">
        <f t="shared" si="10"/>
        <v>51.102363146778522</v>
      </c>
      <c r="M74" s="10">
        <f t="shared" si="11"/>
        <v>7324.9863055217984</v>
      </c>
      <c r="N74" s="12"/>
      <c r="O74" s="14"/>
      <c r="P74" s="14"/>
      <c r="Q74" s="15">
        <v>0.78366192642865418</v>
      </c>
    </row>
    <row r="75" spans="1:17" hidden="1" x14ac:dyDescent="0.2">
      <c r="A75" s="13" t="s">
        <v>45</v>
      </c>
      <c r="B75" s="13" t="s">
        <v>39</v>
      </c>
      <c r="C75" s="4">
        <v>374324.11022995453</v>
      </c>
      <c r="D75" s="5">
        <v>15028309</v>
      </c>
      <c r="E75" s="5">
        <v>33736778</v>
      </c>
      <c r="F75" s="6">
        <v>1609</v>
      </c>
      <c r="G75" s="6">
        <v>390</v>
      </c>
      <c r="H75" s="7">
        <f t="shared" si="6"/>
        <v>875.50391863781874</v>
      </c>
      <c r="I75" s="8">
        <f t="shared" si="7"/>
        <v>2.5951023498385613E-5</v>
      </c>
      <c r="J75" s="8">
        <f t="shared" si="8"/>
        <v>4.7692758330389467E-5</v>
      </c>
      <c r="K75" s="8">
        <f t="shared" si="9"/>
        <v>0.8377987416703</v>
      </c>
      <c r="L75" s="9">
        <f t="shared" si="10"/>
        <v>733.49608136218126</v>
      </c>
      <c r="M75" s="10">
        <f t="shared" si="11"/>
        <v>510.32871168826739</v>
      </c>
      <c r="N75" s="12"/>
      <c r="O75" s="14"/>
      <c r="P75" s="14"/>
      <c r="Q75" s="15">
        <v>0.7101106557725464</v>
      </c>
    </row>
    <row r="76" spans="1:17" hidden="1" x14ac:dyDescent="0.2">
      <c r="A76" s="13" t="s">
        <v>45</v>
      </c>
      <c r="B76" s="13" t="s">
        <v>40</v>
      </c>
      <c r="C76" s="4">
        <v>374324.11022995453</v>
      </c>
      <c r="D76" s="5">
        <v>15028309</v>
      </c>
      <c r="E76" s="5">
        <v>33736778</v>
      </c>
      <c r="F76" s="6">
        <v>3828</v>
      </c>
      <c r="G76" s="6">
        <v>929</v>
      </c>
      <c r="H76" s="7">
        <f t="shared" si="6"/>
        <v>2085.4952318321375</v>
      </c>
      <c r="I76" s="8">
        <f t="shared" si="7"/>
        <v>6.1816668794872394E-5</v>
      </c>
      <c r="J76" s="8">
        <f t="shared" si="8"/>
        <v>1.1346667426272894E-4</v>
      </c>
      <c r="K76" s="8">
        <f t="shared" si="9"/>
        <v>0.83553524437313009</v>
      </c>
      <c r="L76" s="9">
        <f t="shared" si="10"/>
        <v>1742.5047681678625</v>
      </c>
      <c r="M76" s="10">
        <f t="shared" si="11"/>
        <v>214.81956151175041</v>
      </c>
      <c r="N76" s="12"/>
      <c r="O76" s="14"/>
      <c r="P76" s="14"/>
      <c r="Q76" s="15">
        <v>0.79394377968520191</v>
      </c>
    </row>
    <row r="77" spans="1:17" hidden="1" x14ac:dyDescent="0.2">
      <c r="A77" s="13" t="s">
        <v>45</v>
      </c>
      <c r="B77" s="13" t="s">
        <v>41</v>
      </c>
      <c r="C77" s="4">
        <v>374324.11022995453</v>
      </c>
      <c r="D77" s="5">
        <v>15028309</v>
      </c>
      <c r="E77" s="5">
        <v>33736778</v>
      </c>
      <c r="F77" s="6">
        <v>3763</v>
      </c>
      <c r="G77" s="6">
        <v>974</v>
      </c>
      <c r="H77" s="7">
        <f t="shared" si="6"/>
        <v>2186.514914751886</v>
      </c>
      <c r="I77" s="8">
        <f t="shared" si="7"/>
        <v>6.4811017660070739E-5</v>
      </c>
      <c r="J77" s="8">
        <f t="shared" si="8"/>
        <v>1.115399935346523E-4</v>
      </c>
      <c r="K77" s="8">
        <f t="shared" si="9"/>
        <v>0.72100358182418578</v>
      </c>
      <c r="L77" s="9">
        <f t="shared" si="10"/>
        <v>1576.485085248114</v>
      </c>
      <c r="M77" s="10">
        <f t="shared" si="11"/>
        <v>237.4422147933241</v>
      </c>
      <c r="N77" s="12"/>
      <c r="O77" s="14"/>
      <c r="P77" s="14"/>
      <c r="Q77" s="15">
        <v>0.16971601084444399</v>
      </c>
    </row>
    <row r="78" spans="1:17" hidden="1" x14ac:dyDescent="0.2">
      <c r="A78" s="13" t="s">
        <v>45</v>
      </c>
      <c r="B78" s="13" t="s">
        <v>42</v>
      </c>
      <c r="C78" s="4">
        <v>374324.11022995453</v>
      </c>
      <c r="D78" s="5">
        <v>15028309</v>
      </c>
      <c r="E78" s="5">
        <v>33736778</v>
      </c>
      <c r="F78" s="6">
        <v>12281</v>
      </c>
      <c r="G78" s="6">
        <v>3220</v>
      </c>
      <c r="H78" s="7">
        <f t="shared" si="6"/>
        <v>7228.5195333686579</v>
      </c>
      <c r="I78" s="8">
        <f t="shared" si="7"/>
        <v>2.1426229657641455E-4</v>
      </c>
      <c r="J78" s="8">
        <f t="shared" si="8"/>
        <v>3.640240926386035E-4</v>
      </c>
      <c r="K78" s="8">
        <f t="shared" si="9"/>
        <v>0.6989647663408568</v>
      </c>
      <c r="L78" s="9">
        <f t="shared" si="10"/>
        <v>5052.4804666313421</v>
      </c>
      <c r="M78" s="10">
        <f t="shared" si="11"/>
        <v>74.087195923298438</v>
      </c>
      <c r="N78" s="12"/>
      <c r="O78" s="14"/>
      <c r="P78" s="14"/>
      <c r="Q78" s="15">
        <v>8.8936007474250678E-3</v>
      </c>
    </row>
  </sheetData>
  <autoFilter ref="A1:Q78" xr:uid="{33EBFE00-5CAB-1A46-B0BC-D07B17BC850E}">
    <filterColumn colId="1">
      <filters>
        <filter val="Hulu Plus Thank You Page [Static]"/>
        <filter val="usergen:LIVE_Bundle"/>
        <filter val="usergen:SVOD_Bundle"/>
      </filters>
    </filterColumn>
    <sortState xmlns:xlrd2="http://schemas.microsoft.com/office/spreadsheetml/2017/richdata2" ref="A5:Q68">
      <sortCondition ref="B1:B78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2026-07-16T18:48:34Z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