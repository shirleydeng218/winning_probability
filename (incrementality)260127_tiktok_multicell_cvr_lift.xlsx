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235" documentId="8_{904D1800-88DA-A24D-B962-31B32AD975CA}" xr6:coauthVersionLast="47" xr6:coauthVersionMax="47" xr10:uidLastSave="{0B0F2407-7E9E-6B47-B913-B40AD525D977}"/>
  <bookViews>
    <workbookView xWindow="3000" yWindow="680" windowWidth="25620" windowHeight="19740" xr2:uid="{2B257662-BBB0-7E4F-AE21-5DF4D2EB5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Q3" i="1" s="1"/>
  <c r="N3" i="1"/>
  <c r="M3" i="1"/>
  <c r="N2" i="1"/>
  <c r="O2" i="1" s="1"/>
  <c r="M2" i="1"/>
  <c r="O3" i="1" l="1"/>
  <c r="Q2" i="1"/>
</calcChain>
</file>

<file path=xl/sharedStrings.xml><?xml version="1.0" encoding="utf-8"?>
<sst xmlns="http://schemas.openxmlformats.org/spreadsheetml/2006/main" count="21" uniqueCount="20">
  <si>
    <t>cell_name</t>
  </si>
  <si>
    <t>event_type</t>
  </si>
  <si>
    <t>spend_usd</t>
  </si>
  <si>
    <t>n_test</t>
  </si>
  <si>
    <t>test_conversions</t>
  </si>
  <si>
    <t>test_conv_rate</t>
  </si>
  <si>
    <t>relative_lift</t>
  </si>
  <si>
    <t>Absolute_lift</t>
  </si>
  <si>
    <t>absolute_lift_CI_max</t>
  </si>
  <si>
    <t>absolute_lift_CI_min</t>
  </si>
  <si>
    <t>confidence_level</t>
  </si>
  <si>
    <t>CPIS</t>
  </si>
  <si>
    <t>n_control</t>
  </si>
  <si>
    <t>control_conversions</t>
  </si>
  <si>
    <t>control_conv_rate</t>
  </si>
  <si>
    <t>Cell A - web conversions only</t>
  </si>
  <si>
    <t>Cell B - reach + web</t>
  </si>
  <si>
    <t>absolute_lift_CI</t>
  </si>
  <si>
    <t>scaled_control_conversions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</si>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</sst>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4" formatCode="_(&quot;$&quot;* #,##0.00_);_(&quot;$&quot;* \(#,##0.00\);_(&quot;$&quot;* &quot;-&quot;??_);_(@_)"/>
    <numFmt numFmtId="164" formatCode="0.000%"/>
    <numFmt numFmtId="165" formatCode="&quot;$&quot;#,##0.00"/>
  </numFmts>
  <fonts count="10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Aptos Narrow"/>
      <scheme val="minor"/>
    </font>
    <font>
      <sz val="12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0" fontId="7" fillId="2" borderId="0" xfId="0" applyFont="1" applyFill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5" fontId="3" fillId="2" borderId="0" xfId="1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8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164" fontId="7" fillId="0" borderId="0" xfId="2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4" fontId="7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dimension ref="A1:S10"/>
  <sheetViews>
    <sheetView tabSelected="1" workbookViewId="0">
      <selection activeCell="K11" sqref="K11"/>
    </sheetView>
  </sheetViews>
  <sheetFormatPr baseColWidth="10" defaultRowHeight="16" x14ac:dyDescent="0.2"/>
  <cols>
    <col min="1" max="2" width="22.33203125" customWidth="1"/>
    <col min="7" max="7" width="13.6640625" bestFit="1" customWidth="1"/>
    <col min="9" max="9" width="21.6640625" customWidth="1"/>
    <col min="10" max="10" width="17.1640625" customWidth="1"/>
  </cols>
  <sheetData>
    <row r="1" spans="1:19" x14ac:dyDescent="0.2">
      <c r="A1" s="6" t="s">
        <v>0</v>
      </c>
      <c r="B1" s="6" t="s">
        <v>1</v>
      </c>
      <c r="C1" s="8" t="s">
        <v>2</v>
      </c>
      <c r="D1" s="8" t="s">
        <v>12</v>
      </c>
      <c r="E1" s="8" t="s">
        <v>3</v>
      </c>
      <c r="F1" s="9" t="s">
        <v>4</v>
      </c>
      <c r="G1" s="10" t="s">
        <v>18</v>
      </c>
      <c r="H1" s="9" t="s">
        <v>13</v>
      </c>
      <c r="I1" s="11" t="s">
        <v>8</v>
      </c>
      <c r="J1" s="11" t="s">
        <v>9</v>
      </c>
      <c r="K1" s="11" t="s">
        <v>10</v>
      </c>
      <c r="L1" s="11" t="s">
        <v>17</v>
      </c>
      <c r="M1" s="6" t="s">
        <v>14</v>
      </c>
      <c r="N1" s="6" t="s">
        <v>5</v>
      </c>
      <c r="O1" s="6" t="s">
        <v>6</v>
      </c>
      <c r="P1" s="6" t="s">
        <v>7</v>
      </c>
      <c r="Q1" s="6" t="s">
        <v>11</v>
      </c>
      <c r="R1" s="6"/>
      <c r="S1" s="5"/>
    </row>
    <row r="2" spans="1:19" x14ac:dyDescent="0.2">
      <c r="A2" s="26" t="s">
        <v>15</v>
      </c>
      <c r="B2" s="26" t="s">
        <v>19</v>
      </c>
      <c r="C2" s="12">
        <v>436161</v>
      </c>
      <c r="D2" s="13">
        <v>1329417</v>
      </c>
      <c r="E2" s="14">
        <v>12299874</v>
      </c>
      <c r="F2" s="13">
        <v>78478</v>
      </c>
      <c r="G2" s="15">
        <v>74664</v>
      </c>
      <c r="H2" s="16">
        <v>8070</v>
      </c>
      <c r="I2" s="17">
        <v>5488</v>
      </c>
      <c r="J2" s="18">
        <v>2135</v>
      </c>
      <c r="K2" s="19">
        <v>0.99</v>
      </c>
      <c r="L2" s="20">
        <v>1676</v>
      </c>
      <c r="M2" s="21">
        <f>H2/D2</f>
        <v>6.0703300770187235E-3</v>
      </c>
      <c r="N2" s="21">
        <f>F2/E2</f>
        <v>6.3803905633504866E-3</v>
      </c>
      <c r="O2" s="22">
        <f>(N2-M2)/M2</f>
        <v>5.1078027454487418E-2</v>
      </c>
      <c r="P2" s="23">
        <f>F2-G2</f>
        <v>3814</v>
      </c>
      <c r="Q2" s="24">
        <f>C2/P2</f>
        <v>114.35789197692711</v>
      </c>
      <c r="R2" s="4"/>
      <c r="S2" s="7"/>
    </row>
    <row r="3" spans="1:19" x14ac:dyDescent="0.2">
      <c r="A3" s="26" t="s">
        <v>16</v>
      </c>
      <c r="B3" s="26" t="s">
        <v>19</v>
      </c>
      <c r="C3" s="12">
        <v>436203</v>
      </c>
      <c r="D3" s="13">
        <v>2455248</v>
      </c>
      <c r="E3" s="14">
        <v>22118698</v>
      </c>
      <c r="F3" s="13">
        <v>103155</v>
      </c>
      <c r="G3" s="15">
        <v>96556</v>
      </c>
      <c r="H3" s="16">
        <v>10718</v>
      </c>
      <c r="I3" s="17">
        <v>8507</v>
      </c>
      <c r="J3" s="17">
        <v>4702</v>
      </c>
      <c r="K3" s="19">
        <v>0.99</v>
      </c>
      <c r="L3" s="25">
        <v>1902.15</v>
      </c>
      <c r="M3" s="21">
        <f>H3/D3</f>
        <v>4.3653431343799081E-3</v>
      </c>
      <c r="N3" s="21">
        <f>F3/E3</f>
        <v>4.6637012721092354E-3</v>
      </c>
      <c r="O3" s="22">
        <f>(N3-M3)/M3</f>
        <v>6.8347006992317175E-2</v>
      </c>
      <c r="P3" s="23">
        <f>F3-G3</f>
        <v>6599</v>
      </c>
      <c r="Q3" s="24">
        <f>C3/P3</f>
        <v>66.101378996817701</v>
      </c>
      <c r="R3" s="4"/>
      <c r="S3" s="7"/>
    </row>
    <row r="4" spans="1:19" x14ac:dyDescent="0.2">
      <c r="A4" s="3"/>
      <c r="B4" s="3"/>
      <c r="E4" s="2"/>
      <c r="F4" s="3"/>
      <c r="G4" s="3"/>
      <c r="H4" s="3"/>
      <c r="I4" s="1"/>
      <c r="J4" s="3"/>
      <c r="Q4" s="1"/>
    </row>
    <row r="5" spans="1:19" x14ac:dyDescent="0.2">
      <c r="A5" s="3"/>
      <c r="B5" s="3"/>
      <c r="E5" s="2"/>
      <c r="F5" s="3"/>
      <c r="G5" s="3"/>
      <c r="H5" s="3"/>
      <c r="I5" s="1"/>
      <c r="J5" s="3"/>
      <c r="N5" s="4"/>
      <c r="Q5" s="1"/>
    </row>
    <row r="6" spans="1:19" ht="17" customHeight="1" x14ac:dyDescent="0.2">
      <c r="A6" s="3"/>
      <c r="B6" s="3"/>
      <c r="E6" s="2"/>
      <c r="F6" s="3"/>
      <c r="G6" s="3"/>
      <c r="H6" s="3"/>
      <c r="I6" s="1"/>
      <c r="J6" s="3"/>
      <c r="N6" s="4"/>
      <c r="Q6" s="1"/>
    </row>
    <row r="8" spans="1:19" x14ac:dyDescent="0.2">
      <c r="Q8" s="6"/>
    </row>
    <row r="9" spans="1:19" x14ac:dyDescent="0.2">
      <c r="Q9" s="24"/>
    </row>
    <row r="10" spans="1:19" x14ac:dyDescent="0.2">
      <c r="Q10" s="2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2026-03-10T18:32:07Z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