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shirley_deng_disney_com/Documents/Documents/winning_prob/"/>
    </mc:Choice>
  </mc:AlternateContent>
  <xr:revisionPtr revIDLastSave="292" documentId="8_{904D1800-88DA-A24D-B962-31B32AD975CA}" xr6:coauthVersionLast="47" xr6:coauthVersionMax="47" xr10:uidLastSave="{144FB372-E45B-FC40-AFCA-A3E512E585C2}"/>
  <bookViews>
    <workbookView xWindow="2940" yWindow="720" windowWidth="25620" windowHeight="19740" xr2:uid="{2B257662-BBB0-7E4F-AE21-5DF4D2EB5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 s="1"/>
  <c r="I2" i="1"/>
  <c r="H2" i="1"/>
  <c r="L2" i="1" s="1"/>
  <c r="H3" i="1"/>
  <c r="L3" i="1" s="1"/>
  <c r="M3" i="1" s="1"/>
  <c r="J3" i="1"/>
  <c r="I3" i="1"/>
  <c r="K3" i="1" l="1"/>
  <c r="M2" i="1"/>
</calcChain>
</file>

<file path=xl/sharedStrings.xml><?xml version="1.0" encoding="utf-8"?>
<sst xmlns="http://schemas.openxmlformats.org/spreadsheetml/2006/main" count="21" uniqueCount="20">
  <si>
    <t>cell_name</t>
  </si>
  <si>
    <t>event_type</t>
  </si>
  <si>
    <t>spend_usd</t>
  </si>
  <si>
    <t>n_test</t>
  </si>
  <si>
    <t>test_conversions</t>
  </si>
  <si>
    <t>test_conv_rate</t>
  </si>
  <si>
    <t>relative_lift</t>
  </si>
  <si>
    <t>Absolute_lift</t>
  </si>
  <si>
    <t>absolute_lift_CI_max</t>
  </si>
  <si>
    <t>absolute_lift_CI_min</t>
  </si>
  <si>
    <t>confidence_level</t>
  </si>
  <si>
    <t>CPIS</t>
  </si>
  <si>
    <t>n_control</t>
  </si>
  <si>
    <t>control_conversions</t>
  </si>
  <si>
    <t>control_conv_rate</t>
  </si>
  <si>
    <t>absolute_lift_CI</t>
  </si>
  <si>
    <t>scaled_control_conversions</t>
  </si>
  <si>
    <t>Cell 1</t>
  </si>
  <si>
    <t>total_purchase</t>
  </si>
  <si>
    <t>Cell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</si>
</sst>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&quot;$&quot;#,##0.00"/>
    <numFmt numFmtId="166" formatCode="_(* #,##0_);_(* \(#,##0\);_(* &quot;-&quot;??_);_(@_)"/>
  </numFmts>
  <fonts count="10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165" fontId="5" fillId="0" borderId="0" xfId="1" applyNumberFormat="1" applyFont="1" applyAlignment="1">
      <alignment horizontal="center"/>
    </xf>
    <xf numFmtId="44" fontId="0" fillId="0" borderId="0" xfId="1" applyFont="1"/>
    <xf numFmtId="0" fontId="6" fillId="2" borderId="0" xfId="0" applyFont="1" applyFill="1" applyAlignment="1">
      <alignment wrapText="1"/>
    </xf>
    <xf numFmtId="44" fontId="6" fillId="2" borderId="0" xfId="1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7" fillId="2" borderId="0" xfId="0" applyFont="1" applyFill="1" applyAlignment="1">
      <alignment horizontal="right"/>
    </xf>
    <xf numFmtId="44" fontId="8" fillId="2" borderId="0" xfId="1" applyFont="1" applyFill="1" applyAlignment="1">
      <alignment horizontal="right"/>
    </xf>
    <xf numFmtId="166" fontId="8" fillId="2" borderId="0" xfId="3" applyNumberFormat="1" applyFont="1" applyFill="1" applyAlignment="1">
      <alignment horizontal="right"/>
    </xf>
    <xf numFmtId="166" fontId="7" fillId="2" borderId="0" xfId="3" applyNumberFormat="1" applyFont="1" applyFill="1" applyAlignment="1">
      <alignment horizontal="right"/>
    </xf>
    <xf numFmtId="166" fontId="8" fillId="3" borderId="0" xfId="3" applyNumberFormat="1" applyFont="1" applyFill="1" applyAlignment="1">
      <alignment horizontal="right"/>
    </xf>
    <xf numFmtId="164" fontId="7" fillId="3" borderId="0" xfId="2" applyNumberFormat="1" applyFont="1" applyFill="1" applyAlignment="1">
      <alignment horizontal="right"/>
    </xf>
    <xf numFmtId="3" fontId="7" fillId="3" borderId="0" xfId="0" applyNumberFormat="1" applyFont="1" applyFill="1" applyAlignment="1">
      <alignment horizontal="right"/>
    </xf>
    <xf numFmtId="165" fontId="7" fillId="3" borderId="0" xfId="1" applyNumberFormat="1" applyFont="1" applyFill="1" applyAlignment="1">
      <alignment horizontal="right"/>
    </xf>
    <xf numFmtId="3" fontId="7" fillId="4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4" fontId="7" fillId="4" borderId="0" xfId="0" applyNumberFormat="1" applyFont="1" applyFill="1" applyAlignment="1">
      <alignment horizontal="right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E00-5CAB-1A46-B0BC-D07B17BC850E}">
  <dimension ref="A1:Q10"/>
  <sheetViews>
    <sheetView tabSelected="1" workbookViewId="0">
      <pane xSplit="5" ySplit="1" topLeftCell="L2" activePane="bottomRight" state="frozen"/>
      <selection pane="topRight" activeCell="F1" sqref="F1"/>
      <selection pane="bottomLeft" activeCell="A2" sqref="A2"/>
      <selection pane="bottomRight" activeCell="O10" sqref="O10"/>
    </sheetView>
  </sheetViews>
  <sheetFormatPr baseColWidth="10" defaultRowHeight="16" x14ac:dyDescent="0.2"/>
  <cols>
    <col min="1" max="2" width="22.33203125" customWidth="1"/>
    <col min="3" max="3" width="14" style="7" bestFit="1" customWidth="1"/>
    <col min="4" max="5" width="16.1640625" bestFit="1" customWidth="1"/>
    <col min="6" max="6" width="11.6640625" bestFit="1" customWidth="1"/>
    <col min="7" max="7" width="14.33203125" bestFit="1" customWidth="1"/>
    <col min="8" max="8" width="18.1640625" customWidth="1"/>
    <col min="9" max="16" width="11" bestFit="1" customWidth="1"/>
  </cols>
  <sheetData>
    <row r="1" spans="1:17" s="12" customFormat="1" ht="51" x14ac:dyDescent="0.2">
      <c r="A1" s="8" t="s">
        <v>0</v>
      </c>
      <c r="B1" s="8" t="s">
        <v>1</v>
      </c>
      <c r="C1" s="9" t="s">
        <v>2</v>
      </c>
      <c r="D1" s="8" t="s">
        <v>12</v>
      </c>
      <c r="E1" s="8" t="s">
        <v>3</v>
      </c>
      <c r="F1" s="8" t="s">
        <v>4</v>
      </c>
      <c r="G1" s="8" t="s">
        <v>13</v>
      </c>
      <c r="H1" s="11" t="s">
        <v>16</v>
      </c>
      <c r="I1" s="11" t="s">
        <v>14</v>
      </c>
      <c r="J1" s="11" t="s">
        <v>5</v>
      </c>
      <c r="K1" s="11" t="s">
        <v>6</v>
      </c>
      <c r="L1" s="11" t="s">
        <v>7</v>
      </c>
      <c r="M1" s="11" t="s">
        <v>11</v>
      </c>
      <c r="N1" s="10" t="s">
        <v>8</v>
      </c>
      <c r="O1" s="10" t="s">
        <v>9</v>
      </c>
      <c r="P1" s="10" t="s">
        <v>10</v>
      </c>
      <c r="Q1" s="10" t="s">
        <v>15</v>
      </c>
    </row>
    <row r="2" spans="1:17" s="23" customFormat="1" x14ac:dyDescent="0.2">
      <c r="A2" s="13" t="s">
        <v>17</v>
      </c>
      <c r="B2" s="13" t="s">
        <v>18</v>
      </c>
      <c r="C2" s="14">
        <v>374054.85547306883</v>
      </c>
      <c r="D2" s="15">
        <v>11425477</v>
      </c>
      <c r="E2" s="15">
        <v>28040181</v>
      </c>
      <c r="F2" s="16">
        <v>143828</v>
      </c>
      <c r="G2" s="16">
        <v>35892</v>
      </c>
      <c r="H2" s="17">
        <f>G2/D2*E2</f>
        <v>88085.440673680409</v>
      </c>
      <c r="I2" s="18">
        <f>G2/D2</f>
        <v>3.1414005734727748E-3</v>
      </c>
      <c r="J2" s="18">
        <f>F2/E2</f>
        <v>5.1293534802788901E-3</v>
      </c>
      <c r="K2" s="18">
        <f>(J2-I2)/I2</f>
        <v>0.63282375498151155</v>
      </c>
      <c r="L2" s="19">
        <f>F2-H2</f>
        <v>55742.559326319591</v>
      </c>
      <c r="M2" s="20">
        <f>C2/L2</f>
        <v>6.7103997375386717</v>
      </c>
      <c r="N2" s="21"/>
      <c r="O2" s="21"/>
      <c r="P2" s="22">
        <v>0.99</v>
      </c>
      <c r="Q2" s="21"/>
    </row>
    <row r="3" spans="1:17" s="23" customFormat="1" x14ac:dyDescent="0.2">
      <c r="A3" s="13" t="s">
        <v>19</v>
      </c>
      <c r="B3" s="13" t="s">
        <v>18</v>
      </c>
      <c r="C3" s="14">
        <v>366145.38038958894</v>
      </c>
      <c r="D3" s="15">
        <v>2522229</v>
      </c>
      <c r="E3" s="15">
        <v>7763782</v>
      </c>
      <c r="F3" s="16">
        <v>47458</v>
      </c>
      <c r="G3" s="16">
        <v>11632</v>
      </c>
      <c r="H3" s="17">
        <f>G3/D3*E3</f>
        <v>35804.961493980132</v>
      </c>
      <c r="I3" s="18">
        <f>G3/D3</f>
        <v>4.6117937744748795E-3</v>
      </c>
      <c r="J3" s="18">
        <f>F3/E3</f>
        <v>6.1127424752523965E-3</v>
      </c>
      <c r="K3" s="18">
        <f>(J3-I3)/I3</f>
        <v>0.32545876380788991</v>
      </c>
      <c r="L3" s="19">
        <f>F3-H3</f>
        <v>11653.038506019868</v>
      </c>
      <c r="M3" s="20">
        <f>C3/L3</f>
        <v>31.42059302390884</v>
      </c>
      <c r="N3" s="21"/>
      <c r="O3" s="21"/>
      <c r="P3" s="22">
        <v>0.99</v>
      </c>
      <c r="Q3" s="24"/>
    </row>
    <row r="4" spans="1:17" x14ac:dyDescent="0.2">
      <c r="A4" s="3"/>
      <c r="B4" s="3"/>
      <c r="E4" s="2"/>
      <c r="F4" s="3"/>
      <c r="G4" s="3"/>
      <c r="M4" s="1"/>
    </row>
    <row r="5" spans="1:17" x14ac:dyDescent="0.2">
      <c r="A5" s="3"/>
      <c r="B5" s="3"/>
      <c r="E5" s="2"/>
      <c r="F5" s="3"/>
      <c r="G5" s="3"/>
      <c r="J5" s="4"/>
      <c r="M5" s="1"/>
    </row>
    <row r="6" spans="1:17" ht="17" customHeight="1" x14ac:dyDescent="0.2">
      <c r="A6" s="3"/>
      <c r="B6" s="3"/>
      <c r="E6" s="2"/>
      <c r="F6" s="3"/>
      <c r="G6" s="3"/>
      <c r="J6" s="4"/>
      <c r="M6" s="1"/>
    </row>
    <row r="8" spans="1:17" x14ac:dyDescent="0.2">
      <c r="M8" s="5"/>
    </row>
    <row r="9" spans="1:17" x14ac:dyDescent="0.2">
      <c r="M9" s="6"/>
    </row>
    <row r="10" spans="1:17" x14ac:dyDescent="0.2">
      <c r="M10" s="6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Deng, Shirley</dc:creator>
  <cp:lastModifiedBy>Deng, Shirley</cp:lastModifiedBy>
  <dcterms:created xsi:type="dcterms:W3CDTF">2025-12-17T17:50:29Z</dcterms:created>
  <dcterms:modified xsi:type="dcterms:W3CDTF">2026-07-09T20:10:52Z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2025-12-17T17:50:54Z</vt:lpwstr>
  </property>
  <property fmtid="{D5CDD505-2E9C-101B-9397-08002B2CF9AE}" pid="4" name="MSIP_Label_c62e0584-010f-4004-8a6a-d5c118c8b4bd_Method">
    <vt:lpwstr>Privileged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8e26bad6-6b3f-4c9d-9fca-b79116c8a072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50, 0, 1, 1</vt:lpwstr>
  </property>
</Properties>
</file>