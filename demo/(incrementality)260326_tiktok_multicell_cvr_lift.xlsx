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wdc-my.sharepoint.com/personal/shirley_deng_disney_com/Documents/Documents/winning_prob/demo/"/>
    </mc:Choice>
  </mc:AlternateContent>
  <xr:revisionPtr revIDLastSave="291" documentId="8_{904D1800-88DA-A24D-B962-31B32AD975CA}" xr6:coauthVersionLast="47" xr6:coauthVersionMax="47" xr10:uidLastSave="{1B8D172C-0D45-1744-B58E-EC3AB39181FE}"/>
  <bookViews>
    <workbookView xWindow="0" yWindow="680" windowWidth="34200" windowHeight="19780" xr2:uid="{2B257662-BBB0-7E4F-AE21-5DF4D2EB5C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N3" i="1"/>
  <c r="M3" i="1" s="1"/>
  <c r="G3" i="1" s="1"/>
  <c r="N2" i="1"/>
  <c r="M2" i="1" s="1"/>
  <c r="G2" i="1" s="1"/>
  <c r="P2" i="1" l="1"/>
  <c r="P3" i="1"/>
  <c r="Q3" i="1" l="1"/>
  <c r="I3" i="1"/>
  <c r="J3" i="1"/>
  <c r="J2" i="1"/>
  <c r="Q2" i="1"/>
  <c r="L2" i="1" l="1"/>
  <c r="L3" i="1"/>
</calcChain>
</file>

<file path=xl/sharedStrings.xml><?xml version="1.0" encoding="utf-8"?>
<sst xmlns="http://schemas.openxmlformats.org/spreadsheetml/2006/main" count="21" uniqueCount="20">
  <si>
    <t>cell_name</t>
  </si>
  <si>
    <t>event_type</t>
  </si>
  <si>
    <t>spend_usd</t>
  </si>
  <si>
    <t>n_test</t>
  </si>
  <si>
    <t>test_conversions</t>
  </si>
  <si>
    <t>test_conv_rate</t>
  </si>
  <si>
    <t>relative_lift</t>
  </si>
  <si>
    <t>Absolute_lift</t>
  </si>
  <si>
    <t>absolute_lift_CI_max</t>
  </si>
  <si>
    <t>absolute_lift_CI_min</t>
  </si>
  <si>
    <t>confidence_level</t>
  </si>
  <si>
    <t>CPIS</t>
  </si>
  <si>
    <t>n_control</t>
  </si>
  <si>
    <t>control_conversions</t>
  </si>
  <si>
    <t>control_conv_rate</t>
  </si>
  <si>
    <t>absolute_lift_CI</t>
  </si>
  <si>
    <t>scaled_control_conversions</t>
  </si>
  <si>
    <t>purchase</t>
  </si>
  <si>
    <t>Cell A - comversion</t>
  </si>
  <si>
    <t>Cell B - conversion + consideration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</si>
</sst>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44" formatCode="_(&quot;$&quot;* #,##0.00_);_(&quot;$&quot;* \(#,##0.00\);_(&quot;$&quot;* &quot;-&quot;??_);_(@_)"/>
    <numFmt numFmtId="164" formatCode="0.000%"/>
    <numFmt numFmtId="165" formatCode="&quot;$&quot;#,##0.00"/>
  </numFmts>
  <fonts count="1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Helvetica Neue"/>
      <family val="2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Arial"/>
      <family val="2"/>
    </font>
    <font>
      <sz val="12"/>
      <color theme="1"/>
      <name val="Aptos Narrow"/>
    </font>
    <font>
      <b/>
      <sz val="12"/>
      <color rgb="FF000000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" fontId="7" fillId="0" borderId="0" xfId="0" applyNumberFormat="1" applyFont="1"/>
    <xf numFmtId="0" fontId="6" fillId="2" borderId="0" xfId="0" applyFont="1" applyFill="1"/>
    <xf numFmtId="0" fontId="6" fillId="3" borderId="0" xfId="0" applyFont="1" applyFill="1"/>
    <xf numFmtId="0" fontId="6" fillId="4" borderId="0" xfId="0" applyFont="1" applyFill="1"/>
    <xf numFmtId="5" fontId="3" fillId="2" borderId="0" xfId="1" applyNumberFormat="1" applyFont="1" applyFill="1" applyAlignment="1">
      <alignment horizontal="center"/>
    </xf>
    <xf numFmtId="3" fontId="5" fillId="2" borderId="0" xfId="0" applyNumberFormat="1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3" fontId="1" fillId="3" borderId="0" xfId="0" applyNumberFormat="1" applyFont="1" applyFill="1" applyAlignment="1">
      <alignment horizontal="center"/>
    </xf>
    <xf numFmtId="3" fontId="8" fillId="2" borderId="0" xfId="0" applyNumberFormat="1" applyFont="1" applyFill="1" applyAlignment="1">
      <alignment horizontal="center"/>
    </xf>
    <xf numFmtId="3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3" fontId="7" fillId="4" borderId="0" xfId="0" applyNumberFormat="1" applyFont="1" applyFill="1" applyAlignment="1">
      <alignment horizontal="center"/>
    </xf>
    <xf numFmtId="164" fontId="7" fillId="0" borderId="0" xfId="2" applyNumberFormat="1" applyFont="1" applyAlignment="1">
      <alignment horizontal="center"/>
    </xf>
    <xf numFmtId="164" fontId="5" fillId="0" borderId="0" xfId="2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165" fontId="7" fillId="0" borderId="0" xfId="1" applyNumberFormat="1" applyFont="1" applyAlignment="1">
      <alignment horizontal="center"/>
    </xf>
    <xf numFmtId="0" fontId="7" fillId="0" borderId="0" xfId="0" applyFont="1" applyAlignment="1">
      <alignment horizontal="left"/>
    </xf>
    <xf numFmtId="3" fontId="9" fillId="4" borderId="0" xfId="0" applyNumberFormat="1" applyFont="1" applyFill="1" applyAlignment="1">
      <alignment horizontal="center"/>
    </xf>
    <xf numFmtId="0" fontId="10" fillId="0" borderId="0" xfId="0" applyFont="1"/>
    <xf numFmtId="0" fontId="11" fillId="0" borderId="0" xfId="0" applyFont="1"/>
    <xf numFmtId="0" fontId="11" fillId="2" borderId="0" xfId="0" applyFont="1" applyFill="1"/>
    <xf numFmtId="0" fontId="11" fillId="4" borderId="0" xfId="0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FE00-5CAB-1A46-B0BC-D07B17BC850E}">
  <dimension ref="A1:S10"/>
  <sheetViews>
    <sheetView tabSelected="1" workbookViewId="0">
      <selection activeCell="H5" sqref="H5"/>
    </sheetView>
  </sheetViews>
  <sheetFormatPr baseColWidth="10" defaultRowHeight="16" x14ac:dyDescent="0.2"/>
  <cols>
    <col min="1" max="17" width="16.6640625" customWidth="1"/>
  </cols>
  <sheetData>
    <row r="1" spans="1:19" s="25" customFormat="1" x14ac:dyDescent="0.2">
      <c r="A1" s="26" t="s">
        <v>0</v>
      </c>
      <c r="B1" s="26" t="s">
        <v>1</v>
      </c>
      <c r="C1" s="27" t="s">
        <v>2</v>
      </c>
      <c r="D1" s="27" t="s">
        <v>12</v>
      </c>
      <c r="E1" s="27" t="s">
        <v>3</v>
      </c>
      <c r="F1" s="8" t="s">
        <v>4</v>
      </c>
      <c r="G1" s="8" t="s">
        <v>13</v>
      </c>
      <c r="H1" s="9" t="s">
        <v>16</v>
      </c>
      <c r="I1" s="10" t="s">
        <v>8</v>
      </c>
      <c r="J1" s="10" t="s">
        <v>9</v>
      </c>
      <c r="K1" s="28" t="s">
        <v>10</v>
      </c>
      <c r="L1" s="10" t="s">
        <v>15</v>
      </c>
      <c r="M1" s="26" t="s">
        <v>14</v>
      </c>
      <c r="N1" s="26" t="s">
        <v>5</v>
      </c>
      <c r="O1" s="26" t="s">
        <v>6</v>
      </c>
      <c r="P1" s="26" t="s">
        <v>7</v>
      </c>
      <c r="Q1" s="26" t="s">
        <v>11</v>
      </c>
      <c r="R1" s="26"/>
      <c r="S1" s="5"/>
    </row>
    <row r="2" spans="1:19" x14ac:dyDescent="0.2">
      <c r="A2" s="23" t="s">
        <v>18</v>
      </c>
      <c r="B2" s="23" t="s">
        <v>17</v>
      </c>
      <c r="C2" s="11">
        <v>282000</v>
      </c>
      <c r="D2" s="12">
        <v>1414063</v>
      </c>
      <c r="E2" s="13">
        <v>13295029</v>
      </c>
      <c r="F2" s="12">
        <v>39827</v>
      </c>
      <c r="G2" s="15">
        <f>D2*M2</f>
        <v>3989.0864021531538</v>
      </c>
      <c r="H2" s="14">
        <v>37505</v>
      </c>
      <c r="I2" s="16">
        <f>P2*(9.36%/O2)</f>
        <v>3511.1340872374794</v>
      </c>
      <c r="J2" s="24">
        <f>P2*(3.01%/O2)</f>
        <v>1129.1147011308562</v>
      </c>
      <c r="K2" s="17">
        <v>0.99</v>
      </c>
      <c r="L2" s="18">
        <f>(I2-J2)/2</f>
        <v>1191.0096930533116</v>
      </c>
      <c r="M2" s="19">
        <f>N2/(O2+1)</f>
        <v>2.8210103808339188E-3</v>
      </c>
      <c r="N2" s="19">
        <f>F2/E2</f>
        <v>2.9956309234075384E-3</v>
      </c>
      <c r="O2" s="20">
        <v>6.1899999999999997E-2</v>
      </c>
      <c r="P2" s="21">
        <f>F2-H2</f>
        <v>2322</v>
      </c>
      <c r="Q2" s="22">
        <f>C2/P2</f>
        <v>121.44702842377261</v>
      </c>
      <c r="R2" s="4"/>
      <c r="S2" s="7"/>
    </row>
    <row r="3" spans="1:19" x14ac:dyDescent="0.2">
      <c r="A3" s="23" t="s">
        <v>19</v>
      </c>
      <c r="B3" s="23" t="s">
        <v>17</v>
      </c>
      <c r="C3" s="11">
        <v>281900</v>
      </c>
      <c r="D3" s="12">
        <v>1600482</v>
      </c>
      <c r="E3" s="13">
        <v>14879782</v>
      </c>
      <c r="F3" s="12">
        <v>35720</v>
      </c>
      <c r="G3" s="15">
        <f>D3*M3</f>
        <v>3677.6812124407702</v>
      </c>
      <c r="H3" s="14">
        <v>34139</v>
      </c>
      <c r="I3" s="16">
        <f>P3*(7.48%/O3)</f>
        <v>2645.610738255034</v>
      </c>
      <c r="J3" s="24">
        <f>P3*(1.46%/O3)</f>
        <v>516.38926174496646</v>
      </c>
      <c r="K3" s="17">
        <v>0.99</v>
      </c>
      <c r="L3" s="18">
        <f>(I3-J3)/2</f>
        <v>1064.6107382550338</v>
      </c>
      <c r="M3" s="19">
        <f>N3/(O3+1)</f>
        <v>2.2978585278939532E-3</v>
      </c>
      <c r="N3" s="19">
        <f>F3/E3</f>
        <v>2.4005728040908127E-3</v>
      </c>
      <c r="O3" s="20">
        <v>4.4699999999999997E-2</v>
      </c>
      <c r="P3" s="21">
        <f>F3-H3</f>
        <v>1581</v>
      </c>
      <c r="Q3" s="22">
        <f>C3/P3</f>
        <v>178.30487033523087</v>
      </c>
      <c r="R3" s="4"/>
      <c r="S3" s="7"/>
    </row>
    <row r="4" spans="1:19" x14ac:dyDescent="0.2">
      <c r="A4" s="3"/>
      <c r="B4" s="3"/>
      <c r="E4" s="2"/>
      <c r="F4" s="3"/>
      <c r="G4" s="3"/>
      <c r="H4" s="3"/>
      <c r="I4" s="1"/>
      <c r="J4" s="3"/>
      <c r="Q4" s="1"/>
    </row>
    <row r="5" spans="1:19" x14ac:dyDescent="0.2">
      <c r="A5" s="3"/>
      <c r="B5" s="3"/>
      <c r="D5" s="3"/>
      <c r="E5" s="2"/>
      <c r="F5" s="3"/>
      <c r="G5" s="3"/>
      <c r="I5" s="1"/>
      <c r="J5" s="3"/>
      <c r="N5" s="4"/>
      <c r="Q5" s="1"/>
    </row>
    <row r="6" spans="1:19" ht="17" customHeight="1" x14ac:dyDescent="0.2">
      <c r="A6" s="3"/>
      <c r="B6" s="3"/>
      <c r="D6" s="3"/>
      <c r="E6" s="2"/>
      <c r="F6" s="3"/>
      <c r="G6" s="3"/>
      <c r="I6" s="1"/>
      <c r="J6" s="3"/>
      <c r="N6" s="4"/>
      <c r="Q6" s="1"/>
    </row>
    <row r="8" spans="1:19" x14ac:dyDescent="0.2">
      <c r="Q8" s="6"/>
    </row>
    <row r="9" spans="1:19" x14ac:dyDescent="0.2">
      <c r="Q9" s="22"/>
    </row>
    <row r="10" spans="1:19" x14ac:dyDescent="0.2">
      <c r="Q10" s="2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Deng, Shirley</dc:creator>
  <cp:lastModifiedBy>Deng, Shirley</cp:lastModifiedBy>
  <dcterms:created xsi:type="dcterms:W3CDTF">2025-12-17T17:50:29Z</dcterms:created>
  <dcterms:modified xsi:type="dcterms:W3CDTF">2026-07-09T20:36:38Z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2025-12-17T17:50:54Z</vt:lpwstr>
  </property>
  <property fmtid="{D5CDD505-2E9C-101B-9397-08002B2CF9AE}" pid="4" name="MSIP_Label_c62e0584-010f-4004-8a6a-d5c118c8b4bd_Method">
    <vt:lpwstr>Privileged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8e26bad6-6b3f-4c9d-9fca-b79116c8a072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50, 0, 1, 1</vt:lpwstr>
  </property>
</Properties>
</file>