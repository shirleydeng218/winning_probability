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wdc-my.sharepoint.com/personal/shirley_deng_disney_com/Documents/Documents/winning_prob/"/>
    </mc:Choice>
  </mc:AlternateContent>
  <xr:revisionPtr revIDLastSave="355" documentId="8_{904D1800-88DA-A24D-B962-31B32AD975CA}" xr6:coauthVersionLast="47" xr6:coauthVersionMax="47" xr10:uidLastSave="{6A6B08A0-4BBC-5E41-8181-B993AD04E659}"/>
  <bookViews>
    <workbookView xWindow="340" yWindow="7760" windowWidth="25620" windowHeight="19740" xr2:uid="{2B257662-BBB0-7E4F-AE21-5DF4D2EB5C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J5" i="1"/>
  <c r="I5" i="1"/>
  <c r="H5" i="1"/>
  <c r="L5" i="1" s="1"/>
  <c r="M5" i="1" s="1"/>
  <c r="I4" i="1"/>
  <c r="H4" i="1"/>
  <c r="L4" i="1" s="1"/>
  <c r="M4" i="1" s="1"/>
  <c r="J2" i="1"/>
  <c r="I2" i="1"/>
  <c r="H2" i="1"/>
  <c r="L2" i="1" s="1"/>
  <c r="H3" i="1"/>
  <c r="L3" i="1" s="1"/>
  <c r="M3" i="1" s="1"/>
  <c r="J3" i="1"/>
  <c r="I3" i="1"/>
  <c r="K2" i="1" l="1"/>
  <c r="K5" i="1"/>
  <c r="K4" i="1"/>
  <c r="K3" i="1"/>
  <c r="M2" i="1"/>
</calcChain>
</file>

<file path=xl/sharedStrings.xml><?xml version="1.0" encoding="utf-8"?>
<sst xmlns="http://schemas.openxmlformats.org/spreadsheetml/2006/main" count="25" uniqueCount="21">
  <si>
    <t>cell_name</t>
  </si>
  <si>
    <t>event_type</t>
  </si>
  <si>
    <t>spend_usd</t>
  </si>
  <si>
    <t>n_test</t>
  </si>
  <si>
    <t>test_conversions</t>
  </si>
  <si>
    <t>test_conv_rate</t>
  </si>
  <si>
    <t>relative_lift</t>
  </si>
  <si>
    <t>Absolute_lift</t>
  </si>
  <si>
    <t>absolute_lift_CI_max</t>
  </si>
  <si>
    <t>absolute_lift_CI_min</t>
  </si>
  <si>
    <t>confidence_level</t>
  </si>
  <si>
    <t>CPIS</t>
  </si>
  <si>
    <t>n_control</t>
  </si>
  <si>
    <t>control_conversions</t>
  </si>
  <si>
    <t>control_conv_rate</t>
  </si>
  <si>
    <t>absolute_lift_CI</t>
  </si>
  <si>
    <t>scaled_control_conversions</t>
  </si>
  <si>
    <t>Cell 1</t>
  </si>
  <si>
    <t>Cell 2</t>
  </si>
  <si>
    <t>Standalone purchase</t>
  </si>
  <si>
    <t>Duo purchase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</si>
</sst>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%"/>
    <numFmt numFmtId="165" formatCode="&quot;$&quot;#,##0.00"/>
    <numFmt numFmtId="166" formatCode="_(* #,##0_);_(* \(#,##0\);_(* &quot;-&quot;??_);_(@_)"/>
  </numFmts>
  <fonts count="10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color rgb="FF000000"/>
      <name val="Helvetica Neue"/>
      <family val="2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/>
    <xf numFmtId="0" fontId="4" fillId="0" borderId="0" xfId="0" applyFont="1"/>
    <xf numFmtId="0" fontId="5" fillId="0" borderId="0" xfId="0" applyFont="1"/>
    <xf numFmtId="165" fontId="5" fillId="0" borderId="0" xfId="1" applyNumberFormat="1" applyFont="1" applyAlignment="1">
      <alignment horizontal="center"/>
    </xf>
    <xf numFmtId="44" fontId="0" fillId="0" borderId="0" xfId="1" applyFont="1"/>
    <xf numFmtId="0" fontId="6" fillId="2" borderId="0" xfId="0" applyFont="1" applyFill="1" applyAlignment="1">
      <alignment wrapText="1"/>
    </xf>
    <xf numFmtId="44" fontId="6" fillId="2" borderId="0" xfId="1" applyFont="1" applyFill="1" applyAlignment="1">
      <alignment wrapText="1"/>
    </xf>
    <xf numFmtId="0" fontId="6" fillId="3" borderId="0" xfId="0" applyFont="1" applyFill="1" applyAlignment="1">
      <alignment wrapText="1"/>
    </xf>
    <xf numFmtId="0" fontId="9" fillId="0" borderId="0" xfId="0" applyFont="1" applyAlignment="1">
      <alignment wrapText="1"/>
    </xf>
    <xf numFmtId="0" fontId="7" fillId="2" borderId="0" xfId="0" applyFont="1" applyFill="1" applyAlignment="1">
      <alignment horizontal="right"/>
    </xf>
    <xf numFmtId="44" fontId="8" fillId="2" borderId="0" xfId="1" applyFont="1" applyFill="1" applyAlignment="1">
      <alignment horizontal="right"/>
    </xf>
    <xf numFmtId="166" fontId="8" fillId="2" borderId="0" xfId="3" applyNumberFormat="1" applyFont="1" applyFill="1" applyAlignment="1">
      <alignment horizontal="right"/>
    </xf>
    <xf numFmtId="166" fontId="7" fillId="2" borderId="0" xfId="3" applyNumberFormat="1" applyFont="1" applyFill="1" applyAlignment="1">
      <alignment horizontal="right"/>
    </xf>
    <xf numFmtId="166" fontId="8" fillId="3" borderId="0" xfId="3" applyNumberFormat="1" applyFont="1" applyFill="1" applyAlignment="1">
      <alignment horizontal="right"/>
    </xf>
    <xf numFmtId="164" fontId="7" fillId="3" borderId="0" xfId="2" applyNumberFormat="1" applyFont="1" applyFill="1" applyAlignment="1">
      <alignment horizontal="right"/>
    </xf>
    <xf numFmtId="3" fontId="7" fillId="3" borderId="0" xfId="0" applyNumberFormat="1" applyFont="1" applyFill="1" applyAlignment="1">
      <alignment horizontal="right"/>
    </xf>
    <xf numFmtId="165" fontId="7" fillId="3" borderId="0" xfId="1" applyNumberFormat="1" applyFont="1" applyFill="1" applyAlignment="1">
      <alignment horizontal="right"/>
    </xf>
    <xf numFmtId="0" fontId="8" fillId="0" borderId="0" xfId="0" applyFont="1" applyAlignment="1">
      <alignment horizontal="right"/>
    </xf>
    <xf numFmtId="0" fontId="6" fillId="4" borderId="0" xfId="0" applyFont="1" applyFill="1" applyAlignment="1">
      <alignment wrapText="1"/>
    </xf>
    <xf numFmtId="3" fontId="7" fillId="4" borderId="0" xfId="0" applyNumberFormat="1" applyFont="1" applyFill="1" applyAlignment="1">
      <alignment horizontal="right"/>
    </xf>
    <xf numFmtId="0" fontId="7" fillId="4" borderId="0" xfId="0" applyFont="1" applyFill="1" applyAlignment="1">
      <alignment horizontal="right"/>
    </xf>
    <xf numFmtId="4" fontId="7" fillId="4" borderId="0" xfId="0" applyNumberFormat="1" applyFont="1" applyFill="1" applyAlignment="1">
      <alignment horizontal="right"/>
    </xf>
  </cellXfs>
  <cellStyles count="4">
    <cellStyle name="Comma" xfId="3" builtinId="3"/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BFE00-5CAB-1A46-B0BC-D07B17BC850E}">
  <dimension ref="A1:Q10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J5" sqref="J5"/>
    </sheetView>
  </sheetViews>
  <sheetFormatPr baseColWidth="10" defaultRowHeight="16" x14ac:dyDescent="0.2"/>
  <cols>
    <col min="1" max="2" width="22.33203125" customWidth="1"/>
    <col min="3" max="3" width="14" style="7" bestFit="1" customWidth="1"/>
    <col min="4" max="5" width="16.1640625" bestFit="1" customWidth="1"/>
    <col min="6" max="6" width="11.6640625" bestFit="1" customWidth="1"/>
    <col min="7" max="7" width="14.33203125" bestFit="1" customWidth="1"/>
    <col min="8" max="8" width="18.1640625" customWidth="1"/>
    <col min="9" max="11" width="11" bestFit="1" customWidth="1"/>
    <col min="12" max="12" width="11" customWidth="1"/>
    <col min="13" max="13" width="11" bestFit="1" customWidth="1"/>
    <col min="14" max="17" width="14.1640625" customWidth="1"/>
  </cols>
  <sheetData>
    <row r="1" spans="1:17" s="11" customFormat="1" ht="34" x14ac:dyDescent="0.2">
      <c r="A1" s="8" t="s">
        <v>0</v>
      </c>
      <c r="B1" s="8" t="s">
        <v>1</v>
      </c>
      <c r="C1" s="9" t="s">
        <v>2</v>
      </c>
      <c r="D1" s="8" t="s">
        <v>12</v>
      </c>
      <c r="E1" s="8" t="s">
        <v>3</v>
      </c>
      <c r="F1" s="8" t="s">
        <v>4</v>
      </c>
      <c r="G1" s="8" t="s">
        <v>13</v>
      </c>
      <c r="H1" s="10" t="s">
        <v>16</v>
      </c>
      <c r="I1" s="10" t="s">
        <v>14</v>
      </c>
      <c r="J1" s="10" t="s">
        <v>5</v>
      </c>
      <c r="K1" s="10" t="s">
        <v>6</v>
      </c>
      <c r="L1" s="10" t="s">
        <v>7</v>
      </c>
      <c r="M1" s="10" t="s">
        <v>11</v>
      </c>
      <c r="N1" s="21" t="s">
        <v>15</v>
      </c>
      <c r="O1" s="21" t="s">
        <v>8</v>
      </c>
      <c r="P1" s="21" t="s">
        <v>9</v>
      </c>
      <c r="Q1" s="21" t="s">
        <v>10</v>
      </c>
    </row>
    <row r="2" spans="1:17" s="20" customFormat="1" x14ac:dyDescent="0.2">
      <c r="A2" s="12" t="s">
        <v>17</v>
      </c>
      <c r="B2" s="12" t="s">
        <v>19</v>
      </c>
      <c r="C2" s="13">
        <v>374054.85547306883</v>
      </c>
      <c r="D2" s="14">
        <v>11425477</v>
      </c>
      <c r="E2" s="14">
        <v>28040181</v>
      </c>
      <c r="F2" s="15">
        <v>143828</v>
      </c>
      <c r="G2" s="15">
        <v>35892</v>
      </c>
      <c r="H2" s="16">
        <f>G2/D2*E2</f>
        <v>88085.440673680409</v>
      </c>
      <c r="I2" s="17">
        <f>G2/D2</f>
        <v>3.1414005734727748E-3</v>
      </c>
      <c r="J2" s="17">
        <f>F2/E2</f>
        <v>5.1293534802788901E-3</v>
      </c>
      <c r="K2" s="17">
        <f>(J2-I2)/I2</f>
        <v>0.63282375498151155</v>
      </c>
      <c r="L2" s="18">
        <f>F2-H2</f>
        <v>55742.559326319591</v>
      </c>
      <c r="M2" s="19">
        <f>C2/L2</f>
        <v>6.7103997375386717</v>
      </c>
      <c r="N2" s="22"/>
      <c r="O2" s="22">
        <v>90000</v>
      </c>
      <c r="P2" s="22">
        <v>80000</v>
      </c>
      <c r="Q2" s="23">
        <v>0.99</v>
      </c>
    </row>
    <row r="3" spans="1:17" s="20" customFormat="1" x14ac:dyDescent="0.2">
      <c r="A3" s="12" t="s">
        <v>18</v>
      </c>
      <c r="B3" s="12" t="s">
        <v>19</v>
      </c>
      <c r="C3" s="13">
        <v>366145.38038958894</v>
      </c>
      <c r="D3" s="14">
        <v>2522229</v>
      </c>
      <c r="E3" s="14">
        <v>7763782</v>
      </c>
      <c r="F3" s="15">
        <v>47458</v>
      </c>
      <c r="G3" s="15">
        <v>11632</v>
      </c>
      <c r="H3" s="16">
        <f>G3/D3*E3</f>
        <v>35804.961493980132</v>
      </c>
      <c r="I3" s="17">
        <f>G3/D3</f>
        <v>4.6117937744748795E-3</v>
      </c>
      <c r="J3" s="17">
        <f>F3/E3</f>
        <v>6.1127424752523965E-3</v>
      </c>
      <c r="K3" s="17">
        <f>(J3-I3)/I3</f>
        <v>0.32545876380788991</v>
      </c>
      <c r="L3" s="18">
        <f>F3-H3</f>
        <v>11653.038506019868</v>
      </c>
      <c r="M3" s="19">
        <f>C3/L3</f>
        <v>31.42059302390884</v>
      </c>
      <c r="N3" s="24"/>
      <c r="O3" s="22">
        <v>40000</v>
      </c>
      <c r="P3" s="22">
        <v>30000</v>
      </c>
      <c r="Q3" s="23">
        <v>0.99</v>
      </c>
    </row>
    <row r="4" spans="1:17" s="20" customFormat="1" x14ac:dyDescent="0.2">
      <c r="A4" s="12" t="s">
        <v>17</v>
      </c>
      <c r="B4" s="12" t="s">
        <v>20</v>
      </c>
      <c r="C4" s="13">
        <v>500000</v>
      </c>
      <c r="D4" s="14">
        <v>1000000</v>
      </c>
      <c r="E4" s="14">
        <v>2000000</v>
      </c>
      <c r="F4" s="15">
        <v>20000</v>
      </c>
      <c r="G4" s="15">
        <v>8000</v>
      </c>
      <c r="H4" s="16">
        <f>G4/D4*E4</f>
        <v>16000</v>
      </c>
      <c r="I4" s="17">
        <f>G4/D4</f>
        <v>8.0000000000000002E-3</v>
      </c>
      <c r="J4" s="17">
        <f>F4/E4</f>
        <v>0.01</v>
      </c>
      <c r="K4" s="17">
        <f>(J4-I4)/I4</f>
        <v>0.25</v>
      </c>
      <c r="L4" s="18">
        <f>F4-H4</f>
        <v>4000</v>
      </c>
      <c r="M4" s="19">
        <f>C4/L4</f>
        <v>125</v>
      </c>
      <c r="N4" s="22"/>
      <c r="O4" s="22">
        <v>5000</v>
      </c>
      <c r="P4" s="22">
        <v>3000</v>
      </c>
      <c r="Q4" s="23">
        <v>0.99</v>
      </c>
    </row>
    <row r="5" spans="1:17" s="20" customFormat="1" x14ac:dyDescent="0.2">
      <c r="A5" s="12" t="s">
        <v>18</v>
      </c>
      <c r="B5" s="12" t="s">
        <v>20</v>
      </c>
      <c r="C5" s="13">
        <v>500000</v>
      </c>
      <c r="D5" s="14">
        <v>800000</v>
      </c>
      <c r="E5" s="14">
        <v>1500000</v>
      </c>
      <c r="F5" s="15">
        <v>15000</v>
      </c>
      <c r="G5" s="15">
        <v>6000</v>
      </c>
      <c r="H5" s="16">
        <f>G5/D5*E5</f>
        <v>11250</v>
      </c>
      <c r="I5" s="17">
        <f>G5/D5</f>
        <v>7.4999999999999997E-3</v>
      </c>
      <c r="J5" s="17">
        <f>F5/E5</f>
        <v>0.01</v>
      </c>
      <c r="K5" s="17">
        <f>(J5-I5)/I5</f>
        <v>0.33333333333333343</v>
      </c>
      <c r="L5" s="18">
        <f>F5-H5</f>
        <v>3750</v>
      </c>
      <c r="M5" s="19">
        <f>C5/L5</f>
        <v>133.33333333333334</v>
      </c>
      <c r="N5" s="24"/>
      <c r="O5" s="22">
        <v>4000</v>
      </c>
      <c r="P5" s="22">
        <v>3000</v>
      </c>
      <c r="Q5" s="23">
        <v>0.99</v>
      </c>
    </row>
    <row r="6" spans="1:17" ht="17" customHeight="1" x14ac:dyDescent="0.2">
      <c r="A6" s="3"/>
      <c r="B6" s="3"/>
      <c r="E6" s="2"/>
      <c r="F6" s="3"/>
      <c r="G6" s="3"/>
      <c r="J6" s="4"/>
      <c r="M6" s="1"/>
    </row>
    <row r="8" spans="1:17" x14ac:dyDescent="0.2">
      <c r="M8" s="5"/>
    </row>
    <row r="9" spans="1:17" x14ac:dyDescent="0.2">
      <c r="M9" s="6"/>
    </row>
    <row r="10" spans="1:17" x14ac:dyDescent="0.2">
      <c r="M10" s="6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Deng, Shirley</dc:creator>
  <cp:lastModifiedBy>Deng, Shirley</cp:lastModifiedBy>
  <dcterms:created xsi:type="dcterms:W3CDTF">2025-12-17T17:50:29Z</dcterms:created>
  <dcterms:modified xsi:type="dcterms:W3CDTF">2026-07-09T21:23:06Z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62e0584-010f-4004-8a6a-d5c118c8b4bd_Enabled">
    <vt:lpwstr>true</vt:lpwstr>
  </property>
  <property fmtid="{D5CDD505-2E9C-101B-9397-08002B2CF9AE}" pid="3" name="MSIP_Label_c62e0584-010f-4004-8a6a-d5c118c8b4bd_SetDate">
    <vt:lpwstr>2025-12-17T17:50:54Z</vt:lpwstr>
  </property>
  <property fmtid="{D5CDD505-2E9C-101B-9397-08002B2CF9AE}" pid="4" name="MSIP_Label_c62e0584-010f-4004-8a6a-d5c118c8b4bd_Method">
    <vt:lpwstr>Privileged</vt:lpwstr>
  </property>
  <property fmtid="{D5CDD505-2E9C-101B-9397-08002B2CF9AE}" pid="5" name="MSIP_Label_c62e0584-010f-4004-8a6a-d5c118c8b4bd_Name">
    <vt:lpwstr>Internal</vt:lpwstr>
  </property>
  <property fmtid="{D5CDD505-2E9C-101B-9397-08002B2CF9AE}" pid="6" name="MSIP_Label_c62e0584-010f-4004-8a6a-d5c118c8b4bd_SiteId">
    <vt:lpwstr>56b731a8-a2ac-4c32-bf6b-616810e913c6</vt:lpwstr>
  </property>
  <property fmtid="{D5CDD505-2E9C-101B-9397-08002B2CF9AE}" pid="7" name="MSIP_Label_c62e0584-010f-4004-8a6a-d5c118c8b4bd_ActionId">
    <vt:lpwstr>8e26bad6-6b3f-4c9d-9fca-b79116c8a072</vt:lpwstr>
  </property>
  <property fmtid="{D5CDD505-2E9C-101B-9397-08002B2CF9AE}" pid="8" name="MSIP_Label_c62e0584-010f-4004-8a6a-d5c118c8b4bd_ContentBits">
    <vt:lpwstr>0</vt:lpwstr>
  </property>
  <property fmtid="{D5CDD505-2E9C-101B-9397-08002B2CF9AE}" pid="9" name="MSIP_Label_c62e0584-010f-4004-8a6a-d5c118c8b4bd_Tag">
    <vt:lpwstr>50, 0, 1, 1</vt:lpwstr>
  </property>
</Properties>
</file>